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v">Sheet1!$U$9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<sst xmlns="http://schemas.openxmlformats.org/spreadsheetml/2006/main" count="115" uniqueCount="43">
  <si>
    <t>地市州</t>
  </si>
  <si>
    <t>年份</t>
  </si>
  <si>
    <t>地区生产总值GDP（亿元）</t>
  </si>
  <si>
    <t>人均 GDP（元）</t>
  </si>
  <si>
    <t>GDP 增长率（%）</t>
  </si>
  <si>
    <t>第二产业占 GDP 比重（%）</t>
  </si>
  <si>
    <t>第三产业占 GDP 比重（%）</t>
  </si>
  <si>
    <t>财政预算收入（亿元）</t>
  </si>
  <si>
    <t>人均财政收入（元）</t>
  </si>
  <si>
    <t>实际外商直接投资（亿美元）</t>
  </si>
  <si>
    <t>外贸进出口总额（亿美元）</t>
  </si>
  <si>
    <t>社会消费品零售总额（亿元）</t>
  </si>
  <si>
    <t>人均批发零售总额（元）</t>
  </si>
  <si>
    <t>城镇居民人均可支配收入（元）</t>
  </si>
  <si>
    <t>农村居民人均可支配收入（元）</t>
  </si>
  <si>
    <t>人均金融机构存款余额（元）</t>
  </si>
  <si>
    <t>货物周转量（亿吨公里）</t>
  </si>
  <si>
    <t>旅客周转量（亿人公里）</t>
  </si>
  <si>
    <t>邮电业务总量（亿元）</t>
  </si>
  <si>
    <t>旅游人数（万人次）（2021年后未统计入境旅游人数）</t>
  </si>
  <si>
    <t>城乡人口总数（万人）</t>
  </si>
  <si>
    <t>城镇人口占总人口比重（%）</t>
  </si>
  <si>
    <t>高等教育在校人数（万人）</t>
  </si>
  <si>
    <t>财政科学技术支出（亿元）</t>
  </si>
  <si>
    <t>综合经济竞争力得分</t>
  </si>
  <si>
    <t>全省</t>
  </si>
  <si>
    <t>武汉</t>
  </si>
  <si>
    <t>黄石</t>
  </si>
  <si>
    <t>十堰</t>
  </si>
  <si>
    <t>宜昌</t>
  </si>
  <si>
    <t>襄阳</t>
  </si>
  <si>
    <t>鄂州</t>
  </si>
  <si>
    <t>荆门</t>
  </si>
  <si>
    <t>孝感</t>
  </si>
  <si>
    <t>荆州</t>
  </si>
  <si>
    <t>黄冈</t>
  </si>
  <si>
    <t>咸宁</t>
  </si>
  <si>
    <t>随州</t>
  </si>
  <si>
    <t>恩施</t>
  </si>
  <si>
    <t>仙桃</t>
  </si>
  <si>
    <t>潜江</t>
  </si>
  <si>
    <t>天门</t>
  </si>
  <si>
    <t>神农架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</si>
</sst>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95"/>
  <sheetViews>
    <sheetView tabSelected="1" zoomScale="70" zoomScaleNormal="70" topLeftCell="A64" workbookViewId="0">
      <pane xSplit="1" topLeftCell="AE1" activePane="topRight" state="frozen"/>
      <selection/>
      <selection pane="topRight" activeCell="AW95" sqref="AW95"/>
    </sheetView>
  </sheetViews>
  <sheetFormatPr defaultColWidth="9" defaultRowHeight="14.4"/>
  <cols>
    <col min="1" max="2" width="9" style="1"/>
    <col min="3" max="3" width="26.6666666666667" style="1" customWidth="1"/>
    <col min="4" max="4" width="16.5925925925926" style="1" customWidth="1"/>
    <col min="5" max="5" width="19.7314814814815" style="1" customWidth="1"/>
    <col min="6" max="6" width="28.2314814814815" style="1" customWidth="1"/>
    <col min="7" max="7" width="27.4537037037037" style="1" customWidth="1"/>
    <col min="8" max="8" width="24.4351851851852" style="1" customWidth="1"/>
    <col min="9" max="9" width="23.7777777777778" style="1" customWidth="1"/>
    <col min="10" max="10" width="28.5" style="1" customWidth="1"/>
    <col min="11" max="11" width="27.0555555555556" style="1" customWidth="1"/>
    <col min="12" max="12" width="29.9351851851852" style="1" customWidth="1"/>
    <col min="13" max="13" width="28.3611111111111" style="1" customWidth="1"/>
    <col min="14" max="14" width="31.787037037037" style="1" customWidth="1"/>
    <col min="15" max="15" width="30.3333333333333" style="1" customWidth="1"/>
    <col min="16" max="16" width="30.8425925925926" style="1" customWidth="1"/>
    <col min="17" max="17" width="26.9259259259259" style="1" customWidth="1"/>
    <col min="18" max="18" width="29.4074074074074" style="1" customWidth="1"/>
    <col min="19" max="19" width="28.75" style="1" customWidth="1"/>
    <col min="20" max="20" width="55.287037037037" style="1" customWidth="1"/>
    <col min="21" max="21" width="24.8333333333333" style="1" customWidth="1"/>
    <col min="22" max="22" width="32.0185185185185" style="1" customWidth="1"/>
    <col min="23" max="23" width="29.6666666666667" style="1" customWidth="1"/>
    <col min="24" max="24" width="27.0555555555556" style="1" customWidth="1"/>
    <col min="25" max="25" width="13.5555555555556" style="1" customWidth="1"/>
    <col min="26" max="26" width="11.6666666666667" style="1" customWidth="1"/>
    <col min="27" max="48" width="12.8888888888889" style="1"/>
    <col min="49" max="49" width="30.3148148148148" style="1" customWidth="1"/>
    <col min="50" max="50" width="14.1111111111111" style="1"/>
    <col min="51" max="52" width="9" style="1"/>
    <col min="53" max="74" width="12.8888888888889" style="1"/>
    <col min="75" max="78" width="9" style="1"/>
    <col min="79" max="100" width="14.1111111111111" style="1"/>
    <col min="101" max="16384" width="9" style="1"/>
  </cols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AW1" s="1" t="s">
        <v>24</v>
      </c>
    </row>
    <row r="2" spans="1:100">
      <c r="A2" s="1" t="s">
        <v>25</v>
      </c>
      <c r="B2" s="1">
        <v>2020</v>
      </c>
      <c r="C2" s="1">
        <v>43443.46</v>
      </c>
      <c r="D2" s="1">
        <v>74440</v>
      </c>
      <c r="E2" s="2">
        <v>-5</v>
      </c>
      <c r="F2" s="1">
        <v>39.19</v>
      </c>
      <c r="G2" s="3">
        <v>51.3</v>
      </c>
      <c r="H2" s="1">
        <v>2511.54</v>
      </c>
      <c r="I2" s="1">
        <v>4349</v>
      </c>
      <c r="J2" s="1">
        <v>103.52</v>
      </c>
      <c r="K2" s="1">
        <v>620.83</v>
      </c>
      <c r="L2" s="1">
        <v>18544.31</v>
      </c>
      <c r="M2" s="1">
        <f t="shared" ref="M2:M65" si="0">ROUND(L2/U2*10000,0)</f>
        <v>32110</v>
      </c>
      <c r="N2" s="1">
        <v>36706</v>
      </c>
      <c r="O2" s="1">
        <v>16306</v>
      </c>
      <c r="P2" s="1">
        <v>116288</v>
      </c>
      <c r="Q2" s="1">
        <v>5295.68</v>
      </c>
      <c r="R2" s="1">
        <v>612.42</v>
      </c>
      <c r="S2" s="1">
        <v>4676.68</v>
      </c>
      <c r="T2" s="1">
        <v>43730</v>
      </c>
      <c r="U2" s="1">
        <v>5775.26</v>
      </c>
      <c r="V2" s="1">
        <v>62.89</v>
      </c>
      <c r="W2" s="1">
        <v>179.25</v>
      </c>
      <c r="X2" s="1">
        <v>287.85</v>
      </c>
      <c r="AA2" s="1">
        <f t="shared" ref="AA2:AV2" si="1">ROUND((C2-MIN(C$2:C$91))/(MAX(C$2:C$91)-MIN(C$2:C$91)),4)</f>
        <v>0.7238</v>
      </c>
      <c r="AB2" s="1">
        <f t="shared" si="1"/>
        <v>0.3341</v>
      </c>
      <c r="AC2" s="1">
        <f t="shared" si="1"/>
        <v>0.1805</v>
      </c>
      <c r="AD2" s="1">
        <f t="shared" si="1"/>
        <v>0.6382</v>
      </c>
      <c r="AE2" s="1">
        <f t="shared" si="1"/>
        <v>0.3949</v>
      </c>
      <c r="AF2" s="1">
        <f t="shared" si="1"/>
        <v>0.6376</v>
      </c>
      <c r="AG2" s="1">
        <f t="shared" si="1"/>
        <v>0.2878</v>
      </c>
      <c r="AH2" s="1">
        <f t="shared" si="1"/>
        <v>0.8311</v>
      </c>
      <c r="AI2" s="1">
        <f t="shared" si="1"/>
        <v>0.6259</v>
      </c>
      <c r="AJ2" s="1">
        <f t="shared" si="1"/>
        <v>0.6814</v>
      </c>
      <c r="AK2" s="1">
        <f t="shared" si="1"/>
        <v>0.4939</v>
      </c>
      <c r="AL2" s="1">
        <f t="shared" si="1"/>
        <v>0.1813</v>
      </c>
      <c r="AM2" s="1">
        <f t="shared" si="1"/>
        <v>0.2211</v>
      </c>
      <c r="AN2" s="1">
        <f t="shared" si="1"/>
        <v>0.2772</v>
      </c>
      <c r="AO2" s="1">
        <f t="shared" si="1"/>
        <v>0.583</v>
      </c>
      <c r="AP2" s="1">
        <f t="shared" si="1"/>
        <v>0.5537</v>
      </c>
      <c r="AQ2" s="1">
        <f t="shared" si="1"/>
        <v>1</v>
      </c>
      <c r="AR2" s="1">
        <f t="shared" si="1"/>
        <v>0.5001</v>
      </c>
      <c r="AS2" s="1">
        <f t="shared" si="1"/>
        <v>0.9882</v>
      </c>
      <c r="AT2" s="1">
        <f t="shared" si="1"/>
        <v>0.4684</v>
      </c>
      <c r="AU2" s="1">
        <f t="shared" si="1"/>
        <v>0.8309</v>
      </c>
      <c r="AV2" s="1">
        <f t="shared" si="1"/>
        <v>0.6615</v>
      </c>
      <c r="AW2" s="4">
        <f>ROUND(AA2*$AA$95+AB2*$AB$95+AC2*$AC$95+AD2*$AD$95+AE2*$AE$95+AF2*$AF$95+AG2*$AG$95+AH2*$AH$95+AI2*$AI$95+AJ2*$AJ$95+AK2*$AK$95+AL2*$AL$95+AM2*$AM$95+AN2*$AN$95+AO2*$AO$95+AP2*$AP$95+AQ2*$AQ$95+AR2*$AR$95+AS2*$AS$95+AT2*$AT$95+AU2*$AU$95+AV2*$AV$95,4)</f>
        <v>0.6857</v>
      </c>
      <c r="BA2" s="1">
        <f>AA2/SUM(AA$2:AA$91)</f>
        <v>0.0829104571644578</v>
      </c>
      <c r="BB2" s="1">
        <f t="shared" ref="BB2:BB65" si="2">AB2/SUM(AB$2:AB$91)</f>
        <v>0.00938825975777672</v>
      </c>
      <c r="BC2" s="1">
        <f t="shared" ref="BC2:BC65" si="3">AC2/SUM(AC$2:AC$91)</f>
        <v>0.00372624390485588</v>
      </c>
      <c r="BD2" s="1">
        <f t="shared" ref="BD2:BV2" si="4">AD2/SUM(AD$2:AD$91)</f>
        <v>0.0115330957561388</v>
      </c>
      <c r="BE2" s="1">
        <f t="shared" si="4"/>
        <v>0.0134576521866555</v>
      </c>
      <c r="BF2" s="1">
        <f t="shared" si="4"/>
        <v>0.0776822047320841</v>
      </c>
      <c r="BG2" s="1">
        <f t="shared" si="4"/>
        <v>0.0101960200802786</v>
      </c>
      <c r="BH2" s="1">
        <f t="shared" si="4"/>
        <v>0.171960025656411</v>
      </c>
      <c r="BI2" s="1">
        <f t="shared" si="4"/>
        <v>0.0724630969609262</v>
      </c>
      <c r="BJ2" s="1">
        <f t="shared" si="4"/>
        <v>0.0794654102719597</v>
      </c>
      <c r="BK2" s="1">
        <f t="shared" si="4"/>
        <v>0.00945335528078705</v>
      </c>
      <c r="BL2" s="1">
        <f t="shared" si="4"/>
        <v>0.00688340730559975</v>
      </c>
      <c r="BM2" s="1">
        <f t="shared" si="4"/>
        <v>0.0057989640023605</v>
      </c>
      <c r="BN2" s="1">
        <f t="shared" si="4"/>
        <v>0.0120349586895267</v>
      </c>
      <c r="BO2" s="1">
        <f t="shared" si="4"/>
        <v>0.0749029986895187</v>
      </c>
      <c r="BP2" s="1">
        <f t="shared" si="4"/>
        <v>0.0896302771302771</v>
      </c>
      <c r="BQ2" s="1">
        <f t="shared" si="4"/>
        <v>0.295002655023895</v>
      </c>
      <c r="BR2" s="1">
        <f t="shared" si="4"/>
        <v>0.0553342627630618</v>
      </c>
      <c r="BS2" s="1">
        <f t="shared" si="4"/>
        <v>0.0999524613875206</v>
      </c>
      <c r="BT2" s="1">
        <f t="shared" si="4"/>
        <v>0.012891683983101</v>
      </c>
      <c r="BU2" s="1">
        <f t="shared" si="4"/>
        <v>0.088509432555365</v>
      </c>
      <c r="BV2" s="1">
        <f t="shared" si="4"/>
        <v>0.0879221659555804</v>
      </c>
      <c r="CA2" s="1">
        <f>IF(BA2=0,0,LN(BA2))</f>
        <v>-2.48999408288468</v>
      </c>
      <c r="CB2" s="1">
        <f t="shared" ref="CB2:CV2" si="5">IF(BB2=0,0,LN(BB2))</f>
        <v>-4.66829533224782</v>
      </c>
      <c r="CC2" s="1">
        <f t="shared" si="5"/>
        <v>-5.59235454870473</v>
      </c>
      <c r="CD2" s="1">
        <f t="shared" si="5"/>
        <v>-4.46253448497745</v>
      </c>
      <c r="CE2" s="1">
        <f t="shared" si="5"/>
        <v>-4.30820739890609</v>
      </c>
      <c r="CF2" s="1">
        <f t="shared" si="5"/>
        <v>-2.55512907316594</v>
      </c>
      <c r="CG2" s="1">
        <f t="shared" si="5"/>
        <v>-4.58575782304312</v>
      </c>
      <c r="CH2" s="1">
        <f t="shared" si="5"/>
        <v>-1.76049323815419</v>
      </c>
      <c r="CI2" s="1">
        <f t="shared" si="5"/>
        <v>-2.62467785414527</v>
      </c>
      <c r="CJ2" s="1">
        <f t="shared" si="5"/>
        <v>-2.53243344292011</v>
      </c>
      <c r="CK2" s="1">
        <f t="shared" si="5"/>
        <v>-4.66138554432607</v>
      </c>
      <c r="CL2" s="1">
        <f t="shared" si="5"/>
        <v>-4.97864150172471</v>
      </c>
      <c r="CM2" s="1">
        <f t="shared" si="5"/>
        <v>-5.15007599766694</v>
      </c>
      <c r="CN2" s="1">
        <f t="shared" si="5"/>
        <v>-4.41993964028089</v>
      </c>
      <c r="CO2" s="1">
        <f t="shared" si="5"/>
        <v>-2.59156135335225</v>
      </c>
      <c r="CP2" s="1">
        <f t="shared" si="5"/>
        <v>-2.41206210168105</v>
      </c>
      <c r="CQ2" s="1">
        <f t="shared" si="5"/>
        <v>-1.22077092260182</v>
      </c>
      <c r="CR2" s="1">
        <f t="shared" si="5"/>
        <v>-2.89436298251197</v>
      </c>
      <c r="CS2" s="1">
        <f t="shared" si="5"/>
        <v>-2.30306059215065</v>
      </c>
      <c r="CT2" s="1">
        <f t="shared" si="5"/>
        <v>-4.35117282796505</v>
      </c>
      <c r="CU2" s="1">
        <f t="shared" si="5"/>
        <v>-2.42464615010127</v>
      </c>
      <c r="CV2" s="1">
        <f t="shared" si="5"/>
        <v>-2.43130333366269</v>
      </c>
    </row>
    <row r="3" spans="1:100">
      <c r="A3" s="1" t="s">
        <v>25</v>
      </c>
      <c r="B3" s="1">
        <v>2021</v>
      </c>
      <c r="C3" s="1">
        <v>50012.94</v>
      </c>
      <c r="D3" s="1">
        <v>86416</v>
      </c>
      <c r="E3" s="1">
        <v>12.9</v>
      </c>
      <c r="F3" s="3">
        <v>37.9</v>
      </c>
      <c r="G3" s="1">
        <v>52.78</v>
      </c>
      <c r="H3" s="1">
        <v>3283.32</v>
      </c>
      <c r="I3" s="1">
        <v>5632</v>
      </c>
      <c r="J3" s="1">
        <v>124.56</v>
      </c>
      <c r="K3" s="1">
        <v>831.44</v>
      </c>
      <c r="L3" s="1">
        <v>22561.06</v>
      </c>
      <c r="M3" s="1">
        <f t="shared" si="0"/>
        <v>38698</v>
      </c>
      <c r="N3" s="1">
        <v>40278</v>
      </c>
      <c r="O3" s="1">
        <v>18259</v>
      </c>
      <c r="P3" s="1">
        <v>124317</v>
      </c>
      <c r="Q3" s="1">
        <v>6743.77</v>
      </c>
      <c r="R3" s="1">
        <v>744.75</v>
      </c>
      <c r="S3" s="1">
        <v>881.92</v>
      </c>
      <c r="T3" s="1">
        <v>60621</v>
      </c>
      <c r="U3" s="3">
        <v>5830</v>
      </c>
      <c r="V3" s="1">
        <v>64.09</v>
      </c>
      <c r="W3" s="1">
        <v>189.66</v>
      </c>
      <c r="X3" s="1">
        <v>314.57</v>
      </c>
      <c r="AA3" s="1">
        <f t="shared" ref="AA3:AA34" si="6">ROUND((C3-MIN(C$2:C$91))/(MAX(C$2:C$91)-MIN(C$2:C$91)),4)</f>
        <v>0.8333</v>
      </c>
      <c r="AB3" s="1">
        <f t="shared" ref="AB3:AB34" si="7">ROUND((D3-MIN(D$2:D$91))/(MAX(D$2:D$91)-MIN(D$2:D$91)),4)</f>
        <v>0.4299</v>
      </c>
      <c r="AC3" s="1">
        <f t="shared" ref="AC3:AC34" si="8">ROUND((E3-MIN(E$2:E$91))/(MAX(E$2:E$91)-MIN(E$2:E$91)),4)</f>
        <v>0.8534</v>
      </c>
      <c r="AD3" s="1">
        <f t="shared" ref="AD3:AD34" si="9">ROUND((F3-MIN(F$2:F$91))/(MAX(F$2:F$91)-MIN(F$2:F$91)),4)</f>
        <v>0.5887</v>
      </c>
      <c r="AE3" s="1">
        <f t="shared" ref="AE3:AE34" si="10">ROUND((G3-MIN(G$2:G$91))/(MAX(G$2:G$91)-MIN(G$2:G$91)),4)</f>
        <v>0.4499</v>
      </c>
      <c r="AF3" s="1">
        <f t="shared" ref="AF3:AF34" si="11">ROUND((H3-MIN(H$2:H$91))/(MAX(H$2:H$91)-MIN(H$2:H$91)),4)</f>
        <v>0.8338</v>
      </c>
      <c r="AG3" s="1">
        <f t="shared" ref="AG3:AG34" si="12">ROUND((I3-MIN(I$2:I$91))/(MAX(I$2:I$91)-MIN(I$2:I$91)),4)</f>
        <v>0.406</v>
      </c>
      <c r="AH3" s="1">
        <f t="shared" ref="AH3:AH34" si="13">ROUND((J3-MIN(J$2:J$91))/(MAX(J$2:J$91)-MIN(J$2:J$91)),4)</f>
        <v>1</v>
      </c>
      <c r="AI3" s="1">
        <f t="shared" ref="AI3:AI34" si="14">ROUND((K3-MIN(K$2:K$91))/(MAX(K$2:K$91)-MIN(K$2:K$91)),4)</f>
        <v>0.8382</v>
      </c>
      <c r="AJ3" s="1">
        <f t="shared" ref="AJ3:AJ34" si="15">ROUND((L3-MIN(L$2:L$91))/(MAX(L$2:L$91)-MIN(L$2:L$91)),4)</f>
        <v>0.8292</v>
      </c>
      <c r="AK3" s="1">
        <f t="shared" ref="AK3:AK34" si="16">ROUND((M3-MIN(M$2:M$91))/(MAX(M$2:M$91)-MIN(M$2:M$91)),4)</f>
        <v>0.6036</v>
      </c>
      <c r="AL3" s="1">
        <f t="shared" ref="AL3:AL34" si="17">ROUND((N3-MIN(N$2:N$91))/(MAX(N$2:N$91)-MIN(N$2:N$91)),4)</f>
        <v>0.2871</v>
      </c>
      <c r="AM3" s="1">
        <f t="shared" ref="AM3:AM34" si="18">ROUND((O3-MIN(O$2:O$91))/(MAX(O$2:O$91)-MIN(O$2:O$91)),4)</f>
        <v>0.3094</v>
      </c>
      <c r="AN3" s="1">
        <f t="shared" ref="AN3:AN34" si="19">ROUND((P3-MIN(P$2:P$91))/(MAX(P$2:P$91)-MIN(P$2:P$91)),4)</f>
        <v>0.3099</v>
      </c>
      <c r="AO3" s="1">
        <f t="shared" ref="AO3:AO34" si="20">ROUND((Q3-MIN(Q$2:Q$91))/(MAX(Q$2:Q$91)-MIN(Q$2:Q$91)),4)</f>
        <v>0.7425</v>
      </c>
      <c r="AP3" s="1">
        <f t="shared" ref="AP3:AP34" si="21">ROUND((R3-MIN(R$2:R$91))/(MAX(R$2:R$91)-MIN(R$2:R$91)),4)</f>
        <v>0.6734</v>
      </c>
      <c r="AQ3" s="1">
        <f t="shared" ref="AQ3:AQ34" si="22">ROUND((S3-MIN(S$2:S$91))/(MAX(S$2:S$91)-MIN(S$2:S$91)),4)</f>
        <v>0.1884</v>
      </c>
      <c r="AR3" s="1">
        <f t="shared" ref="AR3:AR34" si="23">ROUND((T3-MIN(T$2:T$91))/(MAX(T$2:T$91)-MIN(T$2:T$91)),4)</f>
        <v>0.6939</v>
      </c>
      <c r="AS3" s="1">
        <f t="shared" ref="AS3:AS34" si="24">ROUND((U3-MIN(U$2:U$91))/(MAX(U$2:U$91)-MIN(U$2:U$91)),4)</f>
        <v>0.9976</v>
      </c>
      <c r="AT3" s="1">
        <f t="shared" ref="AT3:AT34" si="25">ROUND((V3-MIN(V$2:V$91))/(MAX(V$2:V$91)-MIN(V$2:V$91)),4)</f>
        <v>0.4972</v>
      </c>
      <c r="AU3" s="1">
        <f t="shared" ref="AU3:AU34" si="26">ROUND((W3-MIN(W$2:W$91))/(MAX(W$2:W$91)-MIN(W$2:W$91)),4)</f>
        <v>0.8792</v>
      </c>
      <c r="AV3" s="1">
        <f t="shared" ref="AV3:AV34" si="27">ROUND((X3-MIN(X$2:X$91))/(MAX(X$2:X$91)-MIN(X$2:X$91)),4)</f>
        <v>0.723</v>
      </c>
      <c r="AW3" s="4">
        <f t="shared" ref="AW3:AW34" si="28">ROUND(AA3*$AA$95+AB3*$AB$95+AC3*$AC$95+AD3*$AD$95+AE3*$AE$95+AF3*$AF$95+AG3*$AG$95+AH3*$AH$95+AI3*$AI$95+AJ3*$AJ$95+AK3*$AK$95+AL3*$AL$95+AM3*$AM$95+AN3*$AN$95+AO3*$AO$95+AP3*$AP$95+AQ3*$AQ$95+AR3*$AR$95+AS3*$AS$95+AT3*$AT$95+AU3*$AU$95+AV3*$AV$95,4)</f>
        <v>0.733</v>
      </c>
      <c r="BA3" s="1">
        <f>AA3/SUM(AA$2:AA$91)</f>
        <v>0.0954535561690283</v>
      </c>
      <c r="BB3" s="1">
        <f t="shared" si="2"/>
        <v>0.0120802540253463</v>
      </c>
      <c r="BC3" s="1">
        <f t="shared" si="3"/>
        <v>0.0176175986061164</v>
      </c>
      <c r="BD3" s="1">
        <f t="shared" ref="BD3:BV3" si="29">AD3/SUM(AD$2:AD$91)</f>
        <v>0.0106385670191773</v>
      </c>
      <c r="BE3" s="1">
        <f t="shared" si="29"/>
        <v>0.0153319770037384</v>
      </c>
      <c r="BF3" s="1">
        <f t="shared" si="29"/>
        <v>0.101586295962377</v>
      </c>
      <c r="BG3" s="1">
        <f t="shared" si="29"/>
        <v>0.014383544658072</v>
      </c>
      <c r="BH3" s="1">
        <f t="shared" si="29"/>
        <v>0.206906540315739</v>
      </c>
      <c r="BI3" s="1">
        <f t="shared" si="29"/>
        <v>0.0970419681620839</v>
      </c>
      <c r="BJ3" s="1">
        <f t="shared" si="29"/>
        <v>0.0967019638942017</v>
      </c>
      <c r="BK3" s="1">
        <f t="shared" si="29"/>
        <v>0.0115530375531141</v>
      </c>
      <c r="BL3" s="1">
        <f t="shared" si="29"/>
        <v>0.0109003101899486</v>
      </c>
      <c r="BM3" s="1">
        <f t="shared" si="29"/>
        <v>0.00811487771293686</v>
      </c>
      <c r="BN3" s="1">
        <f t="shared" si="29"/>
        <v>0.0134546670197847</v>
      </c>
      <c r="BO3" s="1">
        <f t="shared" si="29"/>
        <v>0.0953953285196701</v>
      </c>
      <c r="BP3" s="1">
        <f t="shared" si="29"/>
        <v>0.109006734006734</v>
      </c>
      <c r="BQ3" s="1">
        <f t="shared" si="29"/>
        <v>0.0555785002065019</v>
      </c>
      <c r="BR3" s="1">
        <f t="shared" si="29"/>
        <v>0.076777534355706</v>
      </c>
      <c r="BS3" s="1">
        <f t="shared" si="29"/>
        <v>0.100903233637108</v>
      </c>
      <c r="BT3" s="1">
        <f t="shared" si="29"/>
        <v>0.0136843408975188</v>
      </c>
      <c r="BU3" s="1">
        <f t="shared" si="29"/>
        <v>0.0936544627544553</v>
      </c>
      <c r="BV3" s="1">
        <f t="shared" si="29"/>
        <v>0.0960963355795686</v>
      </c>
      <c r="CA3" s="1">
        <f t="shared" ref="CA3:CA34" si="30">IF(BA3=0,0,LN(BA3))</f>
        <v>-2.34911547262616</v>
      </c>
      <c r="CB3" s="1">
        <f t="shared" ref="CB3:CV3" si="31">IF(BB3=0,0,LN(BB3))</f>
        <v>-4.41618305810829</v>
      </c>
      <c r="CC3" s="1">
        <f t="shared" si="31"/>
        <v>-4.03885695572376</v>
      </c>
      <c r="CD3" s="1">
        <f t="shared" si="31"/>
        <v>-4.54326948278738</v>
      </c>
      <c r="CE3" s="1">
        <f t="shared" si="31"/>
        <v>-4.17781463135157</v>
      </c>
      <c r="CF3" s="1">
        <f t="shared" si="31"/>
        <v>-2.28684663519525</v>
      </c>
      <c r="CG3" s="1">
        <f t="shared" si="31"/>
        <v>-4.24167045789465</v>
      </c>
      <c r="CH3" s="1">
        <f t="shared" si="31"/>
        <v>-1.57548808373103</v>
      </c>
      <c r="CI3" s="1">
        <f t="shared" si="31"/>
        <v>-2.33261173258495</v>
      </c>
      <c r="CJ3" s="1">
        <f t="shared" si="31"/>
        <v>-2.33612156758536</v>
      </c>
      <c r="CK3" s="1">
        <f t="shared" si="31"/>
        <v>-4.46080688497895</v>
      </c>
      <c r="CL3" s="1">
        <f t="shared" si="31"/>
        <v>-4.5189640323585</v>
      </c>
      <c r="CM3" s="1">
        <f t="shared" si="31"/>
        <v>-4.81405614739137</v>
      </c>
      <c r="CN3" s="1">
        <f t="shared" si="31"/>
        <v>-4.30842924280294</v>
      </c>
      <c r="CO3" s="1">
        <f t="shared" si="31"/>
        <v>-2.34972566902589</v>
      </c>
      <c r="CP3" s="1">
        <f t="shared" si="31"/>
        <v>-2.216345618783</v>
      </c>
      <c r="CQ3" s="1">
        <f t="shared" si="31"/>
        <v>-2.88995883944169</v>
      </c>
      <c r="CR3" s="1">
        <f t="shared" si="31"/>
        <v>-2.56684320303132</v>
      </c>
      <c r="CS3" s="1">
        <f t="shared" si="31"/>
        <v>-2.29359330419647</v>
      </c>
      <c r="CT3" s="1">
        <f t="shared" si="31"/>
        <v>-4.29150310005206</v>
      </c>
      <c r="CU3" s="1">
        <f t="shared" si="31"/>
        <v>-2.3681431976828</v>
      </c>
      <c r="CV3" s="1">
        <f t="shared" si="31"/>
        <v>-2.34240409505894</v>
      </c>
    </row>
    <row r="4" spans="1:100">
      <c r="A4" s="1" t="s">
        <v>25</v>
      </c>
      <c r="B4" s="1">
        <v>2022</v>
      </c>
      <c r="C4" s="1">
        <v>53734.92</v>
      </c>
      <c r="D4" s="1">
        <v>92059</v>
      </c>
      <c r="E4" s="1">
        <v>4.3</v>
      </c>
      <c r="F4" s="1">
        <v>39.53</v>
      </c>
      <c r="G4" s="1">
        <v>51.19</v>
      </c>
      <c r="H4" s="1">
        <v>3281.13</v>
      </c>
      <c r="I4" s="1">
        <v>5615</v>
      </c>
      <c r="J4" s="1">
        <v>26.45</v>
      </c>
      <c r="K4" s="1">
        <v>927.31</v>
      </c>
      <c r="L4" s="3">
        <v>23524.93</v>
      </c>
      <c r="M4" s="1">
        <f t="shared" si="0"/>
        <v>40255</v>
      </c>
      <c r="N4" s="1">
        <v>42626</v>
      </c>
      <c r="O4" s="1">
        <v>19709</v>
      </c>
      <c r="P4" s="1">
        <v>136146</v>
      </c>
      <c r="Q4" s="1">
        <v>7544.74</v>
      </c>
      <c r="R4" s="1">
        <v>538.46</v>
      </c>
      <c r="S4" s="1">
        <v>995.45</v>
      </c>
      <c r="T4" s="1">
        <v>58461</v>
      </c>
      <c r="U4" s="3">
        <v>5844</v>
      </c>
      <c r="V4" s="1">
        <v>64.67</v>
      </c>
      <c r="W4" s="1">
        <v>199.15</v>
      </c>
      <c r="X4" s="1">
        <v>376.55</v>
      </c>
      <c r="AA4" s="1">
        <f t="shared" si="6"/>
        <v>0.8953</v>
      </c>
      <c r="AB4" s="1">
        <f t="shared" si="7"/>
        <v>0.475</v>
      </c>
      <c r="AC4" s="1">
        <f t="shared" si="8"/>
        <v>0.5301</v>
      </c>
      <c r="AD4" s="1">
        <f t="shared" si="9"/>
        <v>0.6513</v>
      </c>
      <c r="AE4" s="1">
        <f t="shared" si="10"/>
        <v>0.3908</v>
      </c>
      <c r="AF4" s="1">
        <f t="shared" si="11"/>
        <v>0.8332</v>
      </c>
      <c r="AG4" s="1">
        <f t="shared" si="12"/>
        <v>0.4045</v>
      </c>
      <c r="AH4" s="1">
        <f t="shared" si="13"/>
        <v>0.2123</v>
      </c>
      <c r="AI4" s="1">
        <f t="shared" si="14"/>
        <v>0.9349</v>
      </c>
      <c r="AJ4" s="1">
        <f t="shared" si="15"/>
        <v>0.8646</v>
      </c>
      <c r="AK4" s="1">
        <f t="shared" si="16"/>
        <v>0.6296</v>
      </c>
      <c r="AL4" s="1">
        <f t="shared" si="17"/>
        <v>0.3566</v>
      </c>
      <c r="AM4" s="1">
        <f t="shared" si="18"/>
        <v>0.375</v>
      </c>
      <c r="AN4" s="1">
        <f t="shared" si="19"/>
        <v>0.358</v>
      </c>
      <c r="AO4" s="1">
        <f t="shared" si="20"/>
        <v>0.8307</v>
      </c>
      <c r="AP4" s="1">
        <f t="shared" si="21"/>
        <v>0.4869</v>
      </c>
      <c r="AQ4" s="1">
        <f t="shared" si="22"/>
        <v>0.2127</v>
      </c>
      <c r="AR4" s="1">
        <f t="shared" si="23"/>
        <v>0.6691</v>
      </c>
      <c r="AS4" s="1">
        <f t="shared" si="24"/>
        <v>1</v>
      </c>
      <c r="AT4" s="1">
        <f t="shared" si="25"/>
        <v>0.5112</v>
      </c>
      <c r="AU4" s="1">
        <f t="shared" si="26"/>
        <v>0.9231</v>
      </c>
      <c r="AV4" s="1">
        <f t="shared" si="27"/>
        <v>0.8657</v>
      </c>
      <c r="AW4" s="4">
        <f t="shared" si="28"/>
        <v>0.6624</v>
      </c>
      <c r="BA4" s="1">
        <f>AA4/SUM(AA$2:AA$91)</f>
        <v>0.10255558482915</v>
      </c>
      <c r="BB4" s="1">
        <f t="shared" si="2"/>
        <v>0.0133475707421249</v>
      </c>
      <c r="BC4" s="1">
        <f t="shared" si="3"/>
        <v>0.010943389994261</v>
      </c>
      <c r="BD4" s="1">
        <f t="shared" ref="BD4:BV4" si="32">AD4/SUM(AD$2:AD$91)</f>
        <v>0.0117698296239004</v>
      </c>
      <c r="BE4" s="1">
        <f t="shared" si="32"/>
        <v>0.0133179297912002</v>
      </c>
      <c r="BF4" s="1">
        <f t="shared" si="32"/>
        <v>0.101513194765954</v>
      </c>
      <c r="BG4" s="1">
        <f t="shared" si="32"/>
        <v>0.0143304034832269</v>
      </c>
      <c r="BH4" s="1">
        <f t="shared" si="32"/>
        <v>0.0439262585090314</v>
      </c>
      <c r="BI4" s="1">
        <f t="shared" si="32"/>
        <v>0.108237337192475</v>
      </c>
      <c r="BJ4" s="1">
        <f t="shared" si="32"/>
        <v>0.100830340066241</v>
      </c>
      <c r="BK4" s="1">
        <f t="shared" si="32"/>
        <v>0.012050683305899</v>
      </c>
      <c r="BL4" s="1">
        <f t="shared" si="32"/>
        <v>0.0135390129353385</v>
      </c>
      <c r="BM4" s="1">
        <f t="shared" si="32"/>
        <v>0.00983542062815553</v>
      </c>
      <c r="BN4" s="1">
        <f t="shared" si="32"/>
        <v>0.0155429841661276</v>
      </c>
      <c r="BO4" s="1">
        <f t="shared" si="32"/>
        <v>0.106727137240795</v>
      </c>
      <c r="BP4" s="1">
        <f t="shared" si="32"/>
        <v>0.0788170163170163</v>
      </c>
      <c r="BQ4" s="1">
        <f t="shared" si="32"/>
        <v>0.0627470647235825</v>
      </c>
      <c r="BR4" s="1">
        <f t="shared" si="32"/>
        <v>0.0740335037287835</v>
      </c>
      <c r="BS4" s="1">
        <f t="shared" si="32"/>
        <v>0.101145983998705</v>
      </c>
      <c r="BT4" s="1">
        <f t="shared" si="32"/>
        <v>0.0140696602309164</v>
      </c>
      <c r="BU4" s="1">
        <f t="shared" si="32"/>
        <v>0.0983307945503158</v>
      </c>
      <c r="BV4" s="1">
        <f t="shared" si="32"/>
        <v>0.115063067373766</v>
      </c>
      <c r="CA4" s="1">
        <f t="shared" si="30"/>
        <v>-2.27735033637421</v>
      </c>
      <c r="CB4" s="1">
        <f t="shared" ref="CB4:CV4" si="33">IF(BB4=0,0,LN(BB4))</f>
        <v>-4.31642087757589</v>
      </c>
      <c r="CC4" s="1">
        <f t="shared" si="33"/>
        <v>-4.5150196584839</v>
      </c>
      <c r="CD4" s="1">
        <f t="shared" si="33"/>
        <v>-4.44221583326924</v>
      </c>
      <c r="CE4" s="1">
        <f t="shared" si="33"/>
        <v>-4.31864404703007</v>
      </c>
      <c r="CF4" s="1">
        <f t="shared" si="33"/>
        <v>-2.28756649125513</v>
      </c>
      <c r="CG4" s="1">
        <f t="shared" si="33"/>
        <v>-4.24537188099784</v>
      </c>
      <c r="CH4" s="1">
        <f t="shared" si="33"/>
        <v>-3.12524299400396</v>
      </c>
      <c r="CI4" s="1">
        <f t="shared" si="33"/>
        <v>-2.22342889637866</v>
      </c>
      <c r="CJ4" s="1">
        <f t="shared" si="33"/>
        <v>-2.29431597591345</v>
      </c>
      <c r="CK4" s="1">
        <f t="shared" si="33"/>
        <v>-4.41863391476945</v>
      </c>
      <c r="CL4" s="1">
        <f t="shared" si="33"/>
        <v>-4.30217991405648</v>
      </c>
      <c r="CM4" s="1">
        <f t="shared" si="33"/>
        <v>-4.62176505955993</v>
      </c>
      <c r="CN4" s="1">
        <f t="shared" si="33"/>
        <v>-4.16414592119594</v>
      </c>
      <c r="CO4" s="1">
        <f t="shared" si="33"/>
        <v>-2.23747982085772</v>
      </c>
      <c r="CP4" s="1">
        <f t="shared" si="33"/>
        <v>-2.54062636232132</v>
      </c>
      <c r="CQ4" s="1">
        <f t="shared" si="33"/>
        <v>-2.76864347937776</v>
      </c>
      <c r="CR4" s="1">
        <f t="shared" si="33"/>
        <v>-2.60323753514805</v>
      </c>
      <c r="CS4" s="1">
        <f t="shared" si="33"/>
        <v>-2.29119041958016</v>
      </c>
      <c r="CT4" s="1">
        <f t="shared" si="33"/>
        <v>-4.26373455662529</v>
      </c>
      <c r="CU4" s="1">
        <f t="shared" si="33"/>
        <v>-2.3194180297761</v>
      </c>
      <c r="CV4" s="1">
        <f t="shared" si="33"/>
        <v>-2.16227488899597</v>
      </c>
    </row>
    <row r="5" spans="1:100">
      <c r="A5" s="1" t="s">
        <v>25</v>
      </c>
      <c r="B5" s="1">
        <v>2023</v>
      </c>
      <c r="C5" s="1">
        <v>55803.63</v>
      </c>
      <c r="D5" s="1">
        <v>95538</v>
      </c>
      <c r="E5" s="2">
        <v>6</v>
      </c>
      <c r="F5" s="1">
        <v>36.23</v>
      </c>
      <c r="G5" s="1">
        <v>54.68</v>
      </c>
      <c r="H5" s="1">
        <v>3692.79</v>
      </c>
      <c r="I5" s="1">
        <v>6325</v>
      </c>
      <c r="J5" s="1">
        <v>27.28</v>
      </c>
      <c r="K5" s="3">
        <v>916.4</v>
      </c>
      <c r="L5" s="1">
        <v>25884.19</v>
      </c>
      <c r="M5" s="1">
        <f t="shared" si="0"/>
        <v>44337</v>
      </c>
      <c r="N5" s="1">
        <v>44990</v>
      </c>
      <c r="O5" s="1">
        <v>21293</v>
      </c>
      <c r="P5" s="1">
        <v>149242</v>
      </c>
      <c r="Q5" s="1">
        <v>8594.24</v>
      </c>
      <c r="R5" s="1">
        <v>1027.84</v>
      </c>
      <c r="S5" s="1">
        <v>1097.16</v>
      </c>
      <c r="T5" s="1">
        <v>77160</v>
      </c>
      <c r="U5" s="3">
        <v>5838</v>
      </c>
      <c r="V5" s="1">
        <v>65.47</v>
      </c>
      <c r="W5" s="1">
        <v>207.16</v>
      </c>
      <c r="X5" s="3">
        <v>397.84</v>
      </c>
      <c r="Y5" s="3"/>
      <c r="Z5" s="3"/>
      <c r="AA5" s="1">
        <f t="shared" si="6"/>
        <v>0.9298</v>
      </c>
      <c r="AB5" s="1">
        <f t="shared" si="7"/>
        <v>0.5028</v>
      </c>
      <c r="AC5" s="1">
        <f t="shared" si="8"/>
        <v>0.594</v>
      </c>
      <c r="AD5" s="1">
        <f t="shared" si="9"/>
        <v>0.5246</v>
      </c>
      <c r="AE5" s="1">
        <f t="shared" si="10"/>
        <v>0.5204</v>
      </c>
      <c r="AF5" s="1">
        <f t="shared" si="11"/>
        <v>0.9379</v>
      </c>
      <c r="AG5" s="1">
        <f t="shared" si="12"/>
        <v>0.4699</v>
      </c>
      <c r="AH5" s="1">
        <f t="shared" si="13"/>
        <v>0.219</v>
      </c>
      <c r="AI5" s="1">
        <f t="shared" si="14"/>
        <v>0.9239</v>
      </c>
      <c r="AJ5" s="1">
        <f t="shared" si="15"/>
        <v>0.9514</v>
      </c>
      <c r="AK5" s="1">
        <f t="shared" si="16"/>
        <v>0.6976</v>
      </c>
      <c r="AL5" s="1">
        <f t="shared" si="17"/>
        <v>0.4266</v>
      </c>
      <c r="AM5" s="1">
        <f t="shared" si="18"/>
        <v>0.4466</v>
      </c>
      <c r="AN5" s="1">
        <f t="shared" si="19"/>
        <v>0.4113</v>
      </c>
      <c r="AO5" s="1">
        <f t="shared" si="20"/>
        <v>0.9462</v>
      </c>
      <c r="AP5" s="1">
        <f t="shared" si="21"/>
        <v>0.9294</v>
      </c>
      <c r="AQ5" s="1">
        <f t="shared" si="22"/>
        <v>0.2345</v>
      </c>
      <c r="AR5" s="1">
        <f t="shared" si="23"/>
        <v>0.8837</v>
      </c>
      <c r="AS5" s="1">
        <f t="shared" si="24"/>
        <v>0.999</v>
      </c>
      <c r="AT5" s="1">
        <f t="shared" si="25"/>
        <v>0.5304</v>
      </c>
      <c r="AU5" s="1">
        <f t="shared" si="26"/>
        <v>0.9603</v>
      </c>
      <c r="AV5" s="1">
        <f t="shared" si="27"/>
        <v>0.9148</v>
      </c>
      <c r="AW5" s="4">
        <f t="shared" si="28"/>
        <v>0.7567</v>
      </c>
      <c r="BA5" s="1">
        <f>AA5/SUM(AA$2:AA$91)</f>
        <v>0.10650752013196</v>
      </c>
      <c r="BB5" s="1">
        <f t="shared" si="2"/>
        <v>0.0141287548824009</v>
      </c>
      <c r="BC5" s="1">
        <f t="shared" si="3"/>
        <v>0.0122625422686116</v>
      </c>
      <c r="BD5" s="1">
        <f t="shared" ref="BD5:BV5" si="34">AD5/SUM(AD$2:AD$91)</f>
        <v>0.00948019748303106</v>
      </c>
      <c r="BE5" s="1">
        <f t="shared" si="34"/>
        <v>0.0177345206329084</v>
      </c>
      <c r="BF5" s="1">
        <f t="shared" si="34"/>
        <v>0.114269353541753</v>
      </c>
      <c r="BG5" s="1">
        <f t="shared" si="34"/>
        <v>0.0166473587064729</v>
      </c>
      <c r="BH5" s="1">
        <f t="shared" si="34"/>
        <v>0.0453125323291469</v>
      </c>
      <c r="BI5" s="1">
        <f t="shared" si="34"/>
        <v>0.106963820549928</v>
      </c>
      <c r="BJ5" s="1">
        <f t="shared" si="34"/>
        <v>0.110953025143444</v>
      </c>
      <c r="BK5" s="1">
        <f t="shared" si="34"/>
        <v>0.0133522183516441</v>
      </c>
      <c r="BL5" s="1">
        <f t="shared" si="34"/>
        <v>0.0161966991537168</v>
      </c>
      <c r="BM5" s="1">
        <f t="shared" si="34"/>
        <v>0.0117133302734247</v>
      </c>
      <c r="BN5" s="1">
        <f t="shared" si="34"/>
        <v>0.0178570653282913</v>
      </c>
      <c r="BO5" s="1">
        <f t="shared" si="34"/>
        <v>0.121566410566077</v>
      </c>
      <c r="BP5" s="1">
        <f t="shared" si="34"/>
        <v>0.150446775446775</v>
      </c>
      <c r="BQ5" s="1">
        <f t="shared" si="34"/>
        <v>0.0691781226031034</v>
      </c>
      <c r="BR5" s="1">
        <f t="shared" si="34"/>
        <v>0.0977782203633627</v>
      </c>
      <c r="BS5" s="1">
        <f t="shared" si="34"/>
        <v>0.101044838014707</v>
      </c>
      <c r="BT5" s="1">
        <f t="shared" si="34"/>
        <v>0.0145980981738616</v>
      </c>
      <c r="BU5" s="1">
        <f t="shared" si="34"/>
        <v>0.102293426504895</v>
      </c>
      <c r="BV5" s="1">
        <f t="shared" si="34"/>
        <v>0.121589111740234</v>
      </c>
      <c r="CA5" s="1">
        <f t="shared" si="30"/>
        <v>-2.23953968475783</v>
      </c>
      <c r="CB5" s="1">
        <f t="shared" ref="CB5:CV5" si="35">IF(BB5=0,0,LN(BB5))</f>
        <v>-4.25954320489444</v>
      </c>
      <c r="CC5" s="1">
        <f t="shared" si="35"/>
        <v>-4.40120600711502</v>
      </c>
      <c r="CD5" s="1">
        <f t="shared" si="35"/>
        <v>-4.65855013138882</v>
      </c>
      <c r="CE5" s="1">
        <f t="shared" si="35"/>
        <v>-4.03224222056034</v>
      </c>
      <c r="CF5" s="1">
        <f t="shared" si="35"/>
        <v>-2.16919686712706</v>
      </c>
      <c r="CG5" s="1">
        <f t="shared" si="35"/>
        <v>-4.09550371138762</v>
      </c>
      <c r="CH5" s="1">
        <f t="shared" si="35"/>
        <v>-3.09417163289667</v>
      </c>
      <c r="CI5" s="1">
        <f t="shared" si="35"/>
        <v>-2.23526462739923</v>
      </c>
      <c r="CJ5" s="1">
        <f t="shared" si="35"/>
        <v>-2.1986483641488</v>
      </c>
      <c r="CK5" s="1">
        <f t="shared" si="35"/>
        <v>-4.31607273927788</v>
      </c>
      <c r="CL5" s="1">
        <f t="shared" si="35"/>
        <v>-4.12294781344827</v>
      </c>
      <c r="CM5" s="1">
        <f t="shared" si="35"/>
        <v>-4.44702774612428</v>
      </c>
      <c r="CN5" s="1">
        <f t="shared" si="35"/>
        <v>-4.02535603236026</v>
      </c>
      <c r="CO5" s="1">
        <f t="shared" si="35"/>
        <v>-2.1072945765057</v>
      </c>
      <c r="CP5" s="1">
        <f t="shared" si="35"/>
        <v>-1.89414590885909</v>
      </c>
      <c r="CQ5" s="1">
        <f t="shared" si="35"/>
        <v>-2.67107061369762</v>
      </c>
      <c r="CR5" s="1">
        <f t="shared" si="35"/>
        <v>-2.32505342241287</v>
      </c>
      <c r="CS5" s="1">
        <f t="shared" si="35"/>
        <v>-2.29219091991374</v>
      </c>
      <c r="CT5" s="1">
        <f t="shared" si="35"/>
        <v>-4.22686402081696</v>
      </c>
      <c r="CU5" s="1">
        <f t="shared" si="35"/>
        <v>-2.27990986512828</v>
      </c>
      <c r="CV5" s="1">
        <f t="shared" si="35"/>
        <v>-2.10710785506908</v>
      </c>
    </row>
    <row r="6" spans="1:100">
      <c r="A6" s="1" t="s">
        <v>25</v>
      </c>
      <c r="B6" s="1">
        <v>2024</v>
      </c>
      <c r="C6" s="1">
        <v>60012.97</v>
      </c>
      <c r="D6" s="1">
        <v>102832</v>
      </c>
      <c r="E6" s="1">
        <v>5.8</v>
      </c>
      <c r="F6" s="1">
        <v>35.95</v>
      </c>
      <c r="G6" s="1">
        <v>54.95</v>
      </c>
      <c r="H6" s="1">
        <v>3937.05</v>
      </c>
      <c r="I6" s="1">
        <v>6748</v>
      </c>
      <c r="J6" s="1">
        <v>19.22</v>
      </c>
      <c r="K6" s="1">
        <v>991.92</v>
      </c>
      <c r="L6" s="1">
        <v>27206.22</v>
      </c>
      <c r="M6" s="1">
        <f t="shared" si="0"/>
        <v>46634</v>
      </c>
      <c r="N6" s="1">
        <v>46987</v>
      </c>
      <c r="O6" s="1">
        <v>22580</v>
      </c>
      <c r="P6" s="1">
        <v>161162</v>
      </c>
      <c r="Q6" s="1">
        <v>9082.39</v>
      </c>
      <c r="R6" s="1">
        <v>1105.88</v>
      </c>
      <c r="S6" s="1">
        <v>1260.54</v>
      </c>
      <c r="T6" s="1">
        <v>87300</v>
      </c>
      <c r="U6" s="3">
        <v>5834</v>
      </c>
      <c r="V6" s="1">
        <v>66.35</v>
      </c>
      <c r="W6" s="1">
        <v>215.73</v>
      </c>
      <c r="X6" s="1">
        <v>434.86</v>
      </c>
      <c r="AA6" s="1">
        <f t="shared" si="6"/>
        <v>1</v>
      </c>
      <c r="AB6" s="1">
        <f t="shared" si="7"/>
        <v>0.5611</v>
      </c>
      <c r="AC6" s="1">
        <f t="shared" si="8"/>
        <v>0.5865</v>
      </c>
      <c r="AD6" s="1">
        <f t="shared" si="9"/>
        <v>0.5138</v>
      </c>
      <c r="AE6" s="1">
        <f t="shared" si="10"/>
        <v>0.5305</v>
      </c>
      <c r="AF6" s="1">
        <f t="shared" si="11"/>
        <v>1</v>
      </c>
      <c r="AG6" s="1">
        <f t="shared" si="12"/>
        <v>0.5089</v>
      </c>
      <c r="AH6" s="1">
        <f t="shared" si="13"/>
        <v>0.1543</v>
      </c>
      <c r="AI6" s="1">
        <f t="shared" si="14"/>
        <v>1</v>
      </c>
      <c r="AJ6" s="1">
        <f t="shared" si="15"/>
        <v>1</v>
      </c>
      <c r="AK6" s="1">
        <f t="shared" si="16"/>
        <v>0.7358</v>
      </c>
      <c r="AL6" s="1">
        <f t="shared" si="17"/>
        <v>0.4858</v>
      </c>
      <c r="AM6" s="1">
        <f t="shared" si="18"/>
        <v>0.5048</v>
      </c>
      <c r="AN6" s="1">
        <f t="shared" si="19"/>
        <v>0.4597</v>
      </c>
      <c r="AO6" s="1">
        <f t="shared" si="20"/>
        <v>1</v>
      </c>
      <c r="AP6" s="1">
        <f t="shared" si="21"/>
        <v>1</v>
      </c>
      <c r="AQ6" s="1">
        <f t="shared" si="22"/>
        <v>0.2694</v>
      </c>
      <c r="AR6" s="1">
        <f t="shared" si="23"/>
        <v>1</v>
      </c>
      <c r="AS6" s="1">
        <f t="shared" si="24"/>
        <v>0.9983</v>
      </c>
      <c r="AT6" s="1">
        <f t="shared" si="25"/>
        <v>0.5516</v>
      </c>
      <c r="AU6" s="1">
        <f t="shared" si="26"/>
        <v>1</v>
      </c>
      <c r="AV6" s="1">
        <f t="shared" si="27"/>
        <v>1</v>
      </c>
      <c r="AW6" s="4">
        <f t="shared" si="28"/>
        <v>0.8005</v>
      </c>
      <c r="BA6" s="1">
        <f>AA6/SUM(AA$2:AA$91)</f>
        <v>0.114548849356808</v>
      </c>
      <c r="BB6" s="1">
        <f t="shared" si="2"/>
        <v>0.0157669935650659</v>
      </c>
      <c r="BC6" s="1">
        <f t="shared" si="3"/>
        <v>0.0121077121894625</v>
      </c>
      <c r="BD6" s="1">
        <f t="shared" ref="BD6:BV6" si="36">AD6/SUM(AD$2:AD$91)</f>
        <v>0.0092850275767849</v>
      </c>
      <c r="BE6" s="1">
        <f t="shared" si="36"/>
        <v>0.0180787148265909</v>
      </c>
      <c r="BF6" s="1">
        <f t="shared" si="36"/>
        <v>0.121835327371525</v>
      </c>
      <c r="BG6" s="1">
        <f t="shared" si="36"/>
        <v>0.0180290292524454</v>
      </c>
      <c r="BH6" s="1">
        <f t="shared" si="36"/>
        <v>0.0319256791707185</v>
      </c>
      <c r="BI6" s="1">
        <f t="shared" si="36"/>
        <v>0.115774240231548</v>
      </c>
      <c r="BJ6" s="1">
        <f t="shared" si="36"/>
        <v>0.116620795820311</v>
      </c>
      <c r="BK6" s="1">
        <f t="shared" si="36"/>
        <v>0.0140833748038127</v>
      </c>
      <c r="BL6" s="1">
        <f t="shared" si="36"/>
        <v>0.0184443423555453</v>
      </c>
      <c r="BM6" s="1">
        <f t="shared" si="36"/>
        <v>0.0132397875549144</v>
      </c>
      <c r="BN6" s="1">
        <f t="shared" si="36"/>
        <v>0.0199584073217007</v>
      </c>
      <c r="BO6" s="1">
        <f t="shared" si="36"/>
        <v>0.128478556928849</v>
      </c>
      <c r="BP6" s="1">
        <f t="shared" si="36"/>
        <v>0.161875161875162</v>
      </c>
      <c r="BQ6" s="1">
        <f t="shared" si="36"/>
        <v>0.0794737152634374</v>
      </c>
      <c r="BR6" s="1">
        <f t="shared" si="36"/>
        <v>0.110646396246874</v>
      </c>
      <c r="BS6" s="1">
        <f t="shared" si="36"/>
        <v>0.100974035825908</v>
      </c>
      <c r="BT6" s="1">
        <f t="shared" si="36"/>
        <v>0.0151815817358636</v>
      </c>
      <c r="BU6" s="1">
        <f t="shared" si="36"/>
        <v>0.1065223643704</v>
      </c>
      <c r="BV6" s="1">
        <f t="shared" si="36"/>
        <v>0.13291332721932</v>
      </c>
      <c r="CA6" s="1">
        <f t="shared" si="30"/>
        <v>-2.16675391503218</v>
      </c>
      <c r="CB6" s="1">
        <f t="shared" ref="CB6:CV6" si="37">IF(BB6=0,0,LN(BB6))</f>
        <v>-4.1498365388536</v>
      </c>
      <c r="CC6" s="1">
        <f t="shared" si="37"/>
        <v>-4.41391265838413</v>
      </c>
      <c r="CD6" s="1">
        <f t="shared" si="37"/>
        <v>-4.67935211414581</v>
      </c>
      <c r="CE6" s="1">
        <f t="shared" si="37"/>
        <v>-4.01302000914466</v>
      </c>
      <c r="CF6" s="1">
        <f t="shared" si="37"/>
        <v>-2.10508492165981</v>
      </c>
      <c r="CG6" s="1">
        <f t="shared" si="37"/>
        <v>-4.0157720839016</v>
      </c>
      <c r="CH6" s="1">
        <f t="shared" si="37"/>
        <v>-3.44434460334406</v>
      </c>
      <c r="CI6" s="1">
        <f t="shared" si="37"/>
        <v>-2.15611318909379</v>
      </c>
      <c r="CJ6" s="1">
        <f t="shared" si="37"/>
        <v>-2.14882766916484</v>
      </c>
      <c r="CK6" s="1">
        <f t="shared" si="37"/>
        <v>-4.26276026920197</v>
      </c>
      <c r="CL6" s="1">
        <f t="shared" si="37"/>
        <v>-3.99299760291745</v>
      </c>
      <c r="CM6" s="1">
        <f t="shared" si="37"/>
        <v>-4.32452877430334</v>
      </c>
      <c r="CN6" s="1">
        <f t="shared" si="37"/>
        <v>-3.91410480478446</v>
      </c>
      <c r="CO6" s="1">
        <f t="shared" si="37"/>
        <v>-2.05199326072061</v>
      </c>
      <c r="CP6" s="1">
        <f t="shared" si="37"/>
        <v>-1.82092984652784</v>
      </c>
      <c r="CQ6" s="1">
        <f t="shared" si="37"/>
        <v>-2.53232893760769</v>
      </c>
      <c r="CR6" s="1">
        <f t="shared" si="37"/>
        <v>-2.20141578195469</v>
      </c>
      <c r="CS6" s="1">
        <f t="shared" si="37"/>
        <v>-2.29289186621992</v>
      </c>
      <c r="CT6" s="1">
        <f t="shared" si="37"/>
        <v>-4.18767231376947</v>
      </c>
      <c r="CU6" s="1">
        <f t="shared" si="37"/>
        <v>-2.23940032179007</v>
      </c>
      <c r="CV6" s="1">
        <f t="shared" si="37"/>
        <v>-2.01805803823556</v>
      </c>
    </row>
    <row r="7" spans="1:100">
      <c r="A7" s="1" t="s">
        <v>26</v>
      </c>
      <c r="B7" s="1">
        <v>2020</v>
      </c>
      <c r="C7" s="1">
        <v>15616.06</v>
      </c>
      <c r="D7" s="1">
        <v>132685</v>
      </c>
      <c r="E7" s="1">
        <v>-4.7</v>
      </c>
      <c r="F7" s="1">
        <v>35.59</v>
      </c>
      <c r="G7" s="1">
        <v>61.84</v>
      </c>
      <c r="H7" s="1">
        <v>1230.29</v>
      </c>
      <c r="I7" s="1">
        <f t="shared" ref="I7:I70" si="38">ROUND(H7/U7*10000,0)</f>
        <v>9884</v>
      </c>
      <c r="J7" s="1">
        <v>83.31</v>
      </c>
      <c r="K7" s="1">
        <v>392.08</v>
      </c>
      <c r="L7" s="1">
        <v>6406.87</v>
      </c>
      <c r="M7" s="1">
        <f t="shared" si="0"/>
        <v>51470</v>
      </c>
      <c r="N7" s="1">
        <v>50362</v>
      </c>
      <c r="O7" s="1">
        <v>24057</v>
      </c>
      <c r="P7" s="1">
        <v>249089</v>
      </c>
      <c r="Q7" s="1">
        <v>4050.54</v>
      </c>
      <c r="R7" s="1">
        <v>582.94</v>
      </c>
      <c r="S7" s="1">
        <v>1566.13</v>
      </c>
      <c r="T7" s="1">
        <v>25912</v>
      </c>
      <c r="U7" s="1">
        <v>1244.77</v>
      </c>
      <c r="V7" s="1">
        <v>84.31</v>
      </c>
      <c r="W7" s="3">
        <v>123.2</v>
      </c>
      <c r="X7" s="1">
        <v>152.67</v>
      </c>
      <c r="AA7" s="1">
        <f t="shared" si="6"/>
        <v>0.2598</v>
      </c>
      <c r="AB7" s="1">
        <f t="shared" si="7"/>
        <v>0.7998</v>
      </c>
      <c r="AC7" s="1">
        <f t="shared" si="8"/>
        <v>0.1917</v>
      </c>
      <c r="AD7" s="1">
        <f t="shared" si="9"/>
        <v>0.5</v>
      </c>
      <c r="AE7" s="1">
        <f t="shared" si="10"/>
        <v>0.7864</v>
      </c>
      <c r="AF7" s="1">
        <f t="shared" si="11"/>
        <v>0.3118</v>
      </c>
      <c r="AG7" s="1">
        <f t="shared" si="12"/>
        <v>0.7981</v>
      </c>
      <c r="AH7" s="1">
        <f t="shared" si="13"/>
        <v>0.6688</v>
      </c>
      <c r="AI7" s="1">
        <f t="shared" si="14"/>
        <v>0.3953</v>
      </c>
      <c r="AJ7" s="1">
        <f t="shared" si="15"/>
        <v>0.2351</v>
      </c>
      <c r="AK7" s="1">
        <f t="shared" si="16"/>
        <v>0.8164</v>
      </c>
      <c r="AL7" s="1">
        <f t="shared" si="17"/>
        <v>0.5858</v>
      </c>
      <c r="AM7" s="1">
        <f t="shared" si="18"/>
        <v>0.5716</v>
      </c>
      <c r="AN7" s="1">
        <f t="shared" si="19"/>
        <v>0.8173</v>
      </c>
      <c r="AO7" s="1">
        <f t="shared" si="20"/>
        <v>0.4459</v>
      </c>
      <c r="AP7" s="1">
        <f t="shared" si="21"/>
        <v>0.5271</v>
      </c>
      <c r="AQ7" s="1">
        <f t="shared" si="22"/>
        <v>0.3348</v>
      </c>
      <c r="AR7" s="1">
        <f t="shared" si="23"/>
        <v>0.2957</v>
      </c>
      <c r="AS7" s="1">
        <f t="shared" si="24"/>
        <v>0.2122</v>
      </c>
      <c r="AT7" s="1">
        <f t="shared" si="25"/>
        <v>0.9834</v>
      </c>
      <c r="AU7" s="1">
        <f t="shared" si="26"/>
        <v>0.5711</v>
      </c>
      <c r="AV7" s="1">
        <f t="shared" si="27"/>
        <v>0.3502</v>
      </c>
      <c r="AW7" s="4">
        <f t="shared" si="28"/>
        <v>0.4388</v>
      </c>
      <c r="BA7" s="1">
        <f t="shared" ref="BA7:BA38" si="39">AA7/SUM(AA$2:AA$91)</f>
        <v>0.0297597910628988</v>
      </c>
      <c r="BB7" s="1">
        <f t="shared" si="2"/>
        <v>0.0224744991148453</v>
      </c>
      <c r="BC7" s="1">
        <f t="shared" si="3"/>
        <v>0.00395745682305192</v>
      </c>
      <c r="BD7" s="1">
        <f t="shared" ref="BD7:BV7" si="40">AD7/SUM(AD$2:AD$91)</f>
        <v>0.00903564380769259</v>
      </c>
      <c r="BE7" s="1">
        <f t="shared" si="40"/>
        <v>0.0267994370209822</v>
      </c>
      <c r="BF7" s="1">
        <f t="shared" si="40"/>
        <v>0.0379882550744414</v>
      </c>
      <c r="BG7" s="1">
        <f t="shared" si="40"/>
        <v>0.0282746477625794</v>
      </c>
      <c r="BH7" s="1">
        <f t="shared" si="40"/>
        <v>0.138379094163166</v>
      </c>
      <c r="BI7" s="1">
        <f t="shared" si="40"/>
        <v>0.0457655571635311</v>
      </c>
      <c r="BJ7" s="1">
        <f t="shared" si="40"/>
        <v>0.0274175490973551</v>
      </c>
      <c r="BK7" s="1">
        <f t="shared" si="40"/>
        <v>0.0156260766374459</v>
      </c>
      <c r="BL7" s="1">
        <f t="shared" si="40"/>
        <v>0.0222410369532285</v>
      </c>
      <c r="BM7" s="1">
        <f t="shared" si="40"/>
        <v>0.0149918038161432</v>
      </c>
      <c r="BN7" s="1">
        <f t="shared" si="40"/>
        <v>0.0354840250250728</v>
      </c>
      <c r="BO7" s="1">
        <f t="shared" si="40"/>
        <v>0.0572885885345736</v>
      </c>
      <c r="BP7" s="1">
        <f t="shared" si="40"/>
        <v>0.0853243978243978</v>
      </c>
      <c r="BQ7" s="1">
        <f t="shared" si="40"/>
        <v>0.0987668889020001</v>
      </c>
      <c r="BR7" s="1">
        <f t="shared" si="40"/>
        <v>0.0327181393702007</v>
      </c>
      <c r="BS7" s="1">
        <f t="shared" si="40"/>
        <v>0.0214631778045253</v>
      </c>
      <c r="BT7" s="1">
        <f t="shared" si="40"/>
        <v>0.0270659308902253</v>
      </c>
      <c r="BU7" s="1">
        <f t="shared" si="40"/>
        <v>0.0608349222919352</v>
      </c>
      <c r="BV7" s="1">
        <f t="shared" si="40"/>
        <v>0.046546247192206</v>
      </c>
      <c r="CA7" s="1">
        <f t="shared" si="30"/>
        <v>-3.51459708977782</v>
      </c>
      <c r="CB7" s="1">
        <f t="shared" ref="CB7:CV7" si="41">IF(BB7=0,0,LN(BB7))</f>
        <v>-3.79537398519781</v>
      </c>
      <c r="CC7" s="1">
        <f t="shared" si="41"/>
        <v>-5.53215367642606</v>
      </c>
      <c r="CD7" s="1">
        <f t="shared" si="41"/>
        <v>-4.7065781003994</v>
      </c>
      <c r="CE7" s="1">
        <f t="shared" si="41"/>
        <v>-3.61937439836574</v>
      </c>
      <c r="CF7" s="1">
        <f t="shared" si="41"/>
        <v>-3.27047824401827</v>
      </c>
      <c r="CG7" s="1">
        <f t="shared" si="41"/>
        <v>-3.56578971461442</v>
      </c>
      <c r="CH7" s="1">
        <f t="shared" si="41"/>
        <v>-1.97775830094268</v>
      </c>
      <c r="CI7" s="1">
        <f t="shared" si="41"/>
        <v>-3.08422349777329</v>
      </c>
      <c r="CJ7" s="1">
        <f t="shared" si="41"/>
        <v>-3.59657199260096</v>
      </c>
      <c r="CK7" s="1">
        <f t="shared" si="41"/>
        <v>-4.15881418093696</v>
      </c>
      <c r="CL7" s="1">
        <f t="shared" si="41"/>
        <v>-3.80581618509189</v>
      </c>
      <c r="CM7" s="1">
        <f t="shared" si="41"/>
        <v>-4.20025163947463</v>
      </c>
      <c r="CN7" s="1">
        <f t="shared" si="41"/>
        <v>-3.33867268307456</v>
      </c>
      <c r="CO7" s="1">
        <f t="shared" si="41"/>
        <v>-2.85965382806931</v>
      </c>
      <c r="CP7" s="1">
        <f t="shared" si="41"/>
        <v>-2.46129484164881</v>
      </c>
      <c r="CQ7" s="1">
        <f t="shared" si="41"/>
        <v>-2.31499286296863</v>
      </c>
      <c r="CR7" s="1">
        <f t="shared" si="41"/>
        <v>-3.41982563407839</v>
      </c>
      <c r="CS7" s="1">
        <f t="shared" si="41"/>
        <v>-3.84141647238241</v>
      </c>
      <c r="CT7" s="1">
        <f t="shared" si="41"/>
        <v>-3.60947950471078</v>
      </c>
      <c r="CU7" s="1">
        <f t="shared" si="41"/>
        <v>-2.79959127510139</v>
      </c>
      <c r="CV7" s="1">
        <f t="shared" si="41"/>
        <v>-3.06730889736595</v>
      </c>
    </row>
    <row r="8" spans="1:100">
      <c r="A8" s="1" t="s">
        <v>26</v>
      </c>
      <c r="B8" s="1">
        <v>2021</v>
      </c>
      <c r="C8" s="1">
        <v>17716.76</v>
      </c>
      <c r="D8" s="1">
        <v>135778</v>
      </c>
      <c r="E8" s="1">
        <v>12.2</v>
      </c>
      <c r="F8" s="1">
        <v>35.04</v>
      </c>
      <c r="G8" s="1">
        <v>62.45</v>
      </c>
      <c r="H8" s="1">
        <v>1578.65</v>
      </c>
      <c r="I8" s="1">
        <f t="shared" si="38"/>
        <v>11566</v>
      </c>
      <c r="J8" s="3">
        <v>98.74</v>
      </c>
      <c r="K8" s="1">
        <v>520.72</v>
      </c>
      <c r="L8" s="1">
        <v>7188.26</v>
      </c>
      <c r="M8" s="1">
        <f t="shared" si="0"/>
        <v>52665</v>
      </c>
      <c r="N8" s="1">
        <v>55297</v>
      </c>
      <c r="O8" s="1">
        <v>27209</v>
      </c>
      <c r="P8" s="1">
        <v>247462</v>
      </c>
      <c r="Q8" s="3">
        <v>3719.6</v>
      </c>
      <c r="R8" s="1">
        <v>731.41</v>
      </c>
      <c r="S8" s="1">
        <v>340.53</v>
      </c>
      <c r="T8" s="1">
        <v>27151</v>
      </c>
      <c r="U8" s="1">
        <v>1364.89</v>
      </c>
      <c r="V8" s="1">
        <v>84.56</v>
      </c>
      <c r="W8" s="1">
        <v>128.83</v>
      </c>
      <c r="X8" s="1">
        <v>190.22</v>
      </c>
      <c r="AA8" s="1">
        <f t="shared" si="6"/>
        <v>0.2949</v>
      </c>
      <c r="AB8" s="1">
        <f t="shared" si="7"/>
        <v>0.8245</v>
      </c>
      <c r="AC8" s="1">
        <f t="shared" si="8"/>
        <v>0.8271</v>
      </c>
      <c r="AD8" s="1">
        <f t="shared" si="9"/>
        <v>0.4789</v>
      </c>
      <c r="AE8" s="1">
        <f t="shared" si="10"/>
        <v>0.8091</v>
      </c>
      <c r="AF8" s="1">
        <f t="shared" si="11"/>
        <v>0.4004</v>
      </c>
      <c r="AG8" s="1">
        <f t="shared" si="12"/>
        <v>0.9532</v>
      </c>
      <c r="AH8" s="1">
        <f t="shared" si="13"/>
        <v>0.7927</v>
      </c>
      <c r="AI8" s="1">
        <f t="shared" si="14"/>
        <v>0.525</v>
      </c>
      <c r="AJ8" s="1">
        <f t="shared" si="15"/>
        <v>0.2638</v>
      </c>
      <c r="AK8" s="1">
        <f t="shared" si="16"/>
        <v>0.8363</v>
      </c>
      <c r="AL8" s="1">
        <f t="shared" si="17"/>
        <v>0.732</v>
      </c>
      <c r="AM8" s="1">
        <f t="shared" si="18"/>
        <v>0.7142</v>
      </c>
      <c r="AN8" s="1">
        <f t="shared" si="19"/>
        <v>0.8107</v>
      </c>
      <c r="AO8" s="1">
        <f t="shared" si="20"/>
        <v>0.4094</v>
      </c>
      <c r="AP8" s="1">
        <f t="shared" si="21"/>
        <v>0.6613</v>
      </c>
      <c r="AQ8" s="1">
        <f t="shared" si="22"/>
        <v>0.0727</v>
      </c>
      <c r="AR8" s="1">
        <f t="shared" si="23"/>
        <v>0.3099</v>
      </c>
      <c r="AS8" s="1">
        <f t="shared" si="24"/>
        <v>0.2328</v>
      </c>
      <c r="AT8" s="1">
        <f t="shared" si="25"/>
        <v>0.9894</v>
      </c>
      <c r="AU8" s="1">
        <f t="shared" si="26"/>
        <v>0.5972</v>
      </c>
      <c r="AV8" s="1">
        <f t="shared" si="27"/>
        <v>0.4367</v>
      </c>
      <c r="AW8" s="4">
        <f t="shared" si="28"/>
        <v>0.4809</v>
      </c>
      <c r="BA8" s="1">
        <f t="shared" si="39"/>
        <v>0.0337804556753227</v>
      </c>
      <c r="BB8" s="1">
        <f t="shared" si="2"/>
        <v>0.0231685727934358</v>
      </c>
      <c r="BC8" s="1">
        <f t="shared" si="3"/>
        <v>0.0170746611285668</v>
      </c>
      <c r="BD8" s="1">
        <f t="shared" ref="BD8:BV8" si="42">AD8/SUM(AD$2:AD$91)</f>
        <v>0.00865433963900796</v>
      </c>
      <c r="BE8" s="1">
        <f t="shared" si="42"/>
        <v>0.0275730219909419</v>
      </c>
      <c r="BF8" s="1">
        <f t="shared" si="42"/>
        <v>0.0487828650795585</v>
      </c>
      <c r="BG8" s="1">
        <f t="shared" si="42"/>
        <v>0.0337694452415621</v>
      </c>
      <c r="BH8" s="1">
        <f t="shared" si="42"/>
        <v>0.164014814508286</v>
      </c>
      <c r="BI8" s="1">
        <f t="shared" si="42"/>
        <v>0.060781476121563</v>
      </c>
      <c r="BJ8" s="1">
        <f t="shared" si="42"/>
        <v>0.030764565937398</v>
      </c>
      <c r="BK8" s="1">
        <f t="shared" si="42"/>
        <v>0.016006967040539</v>
      </c>
      <c r="BL8" s="1">
        <f t="shared" si="42"/>
        <v>0.0277918044550415</v>
      </c>
      <c r="BM8" s="1">
        <f t="shared" si="42"/>
        <v>0.0187318864336765</v>
      </c>
      <c r="BN8" s="1">
        <f t="shared" si="42"/>
        <v>0.0351974783896079</v>
      </c>
      <c r="BO8" s="1">
        <f t="shared" si="42"/>
        <v>0.0525991212066706</v>
      </c>
      <c r="BP8" s="1">
        <f t="shared" si="42"/>
        <v>0.107048044548045</v>
      </c>
      <c r="BQ8" s="1">
        <f t="shared" si="42"/>
        <v>0.0214466930202372</v>
      </c>
      <c r="BR8" s="1">
        <f t="shared" si="42"/>
        <v>0.0342893181969063</v>
      </c>
      <c r="BS8" s="1">
        <f t="shared" si="42"/>
        <v>0.0235467850748986</v>
      </c>
      <c r="BT8" s="1">
        <f t="shared" si="42"/>
        <v>0.0272310677473956</v>
      </c>
      <c r="BU8" s="1">
        <f t="shared" si="42"/>
        <v>0.0636151560020026</v>
      </c>
      <c r="BV8" s="1">
        <f t="shared" si="42"/>
        <v>0.0580432499966772</v>
      </c>
      <c r="CA8" s="1">
        <f t="shared" si="30"/>
        <v>-3.38787287819309</v>
      </c>
      <c r="CB8" s="1">
        <f t="shared" ref="CB8:CV8" si="43">IF(BB8=0,0,LN(BB8))</f>
        <v>-3.76495853961087</v>
      </c>
      <c r="CC8" s="1">
        <f t="shared" si="43"/>
        <v>-4.0701597197798</v>
      </c>
      <c r="CD8" s="1">
        <f t="shared" si="43"/>
        <v>-4.74969439147303</v>
      </c>
      <c r="CE8" s="1">
        <f t="shared" si="43"/>
        <v>-3.5909174483849</v>
      </c>
      <c r="CF8" s="1">
        <f t="shared" si="43"/>
        <v>-3.02037615320088</v>
      </c>
      <c r="CG8" s="1">
        <f t="shared" si="43"/>
        <v>-3.3881988722718</v>
      </c>
      <c r="CH8" s="1">
        <f t="shared" si="43"/>
        <v>-1.80779852287006</v>
      </c>
      <c r="CI8" s="1">
        <f t="shared" si="43"/>
        <v>-2.8004702054843</v>
      </c>
      <c r="CJ8" s="1">
        <f t="shared" si="43"/>
        <v>-3.48139170786377</v>
      </c>
      <c r="CK8" s="1">
        <f t="shared" si="43"/>
        <v>-4.13473121148517</v>
      </c>
      <c r="CL8" s="1">
        <f t="shared" si="43"/>
        <v>-3.58301410552421</v>
      </c>
      <c r="CM8" s="1">
        <f t="shared" si="43"/>
        <v>-3.97752805036999</v>
      </c>
      <c r="CN8" s="1">
        <f t="shared" si="43"/>
        <v>-3.34678083560298</v>
      </c>
      <c r="CO8" s="1">
        <f t="shared" si="43"/>
        <v>-2.94505586647555</v>
      </c>
      <c r="CP8" s="1">
        <f t="shared" si="43"/>
        <v>-2.23447753082936</v>
      </c>
      <c r="CQ8" s="1">
        <f t="shared" si="43"/>
        <v>-3.84218481704448</v>
      </c>
      <c r="CR8" s="1">
        <f t="shared" si="43"/>
        <v>-3.37292139614312</v>
      </c>
      <c r="CS8" s="1">
        <f t="shared" si="43"/>
        <v>-3.74876598270501</v>
      </c>
      <c r="CT8" s="1">
        <f t="shared" si="43"/>
        <v>-3.60339676089501</v>
      </c>
      <c r="CU8" s="1">
        <f t="shared" si="43"/>
        <v>-2.75490353510717</v>
      </c>
      <c r="CV8" s="1">
        <f t="shared" si="43"/>
        <v>-2.84656685672619</v>
      </c>
    </row>
    <row r="9" spans="1:100">
      <c r="A9" s="1" t="s">
        <v>26</v>
      </c>
      <c r="B9" s="1">
        <v>2022</v>
      </c>
      <c r="C9" s="1">
        <v>18866.43</v>
      </c>
      <c r="D9" s="1">
        <v>137772</v>
      </c>
      <c r="E9" s="2">
        <v>4</v>
      </c>
      <c r="F9" s="3">
        <v>35.6</v>
      </c>
      <c r="G9" s="1">
        <v>61.88</v>
      </c>
      <c r="H9" s="1">
        <v>1504.74</v>
      </c>
      <c r="I9" s="1">
        <f t="shared" si="38"/>
        <v>10952</v>
      </c>
      <c r="J9" s="1">
        <v>20.45</v>
      </c>
      <c r="K9" s="1">
        <v>525.15</v>
      </c>
      <c r="L9" s="1">
        <v>7443.15</v>
      </c>
      <c r="M9" s="1">
        <f t="shared" si="0"/>
        <v>54175</v>
      </c>
      <c r="N9" s="1">
        <v>58499</v>
      </c>
      <c r="O9" s="1">
        <v>29304</v>
      </c>
      <c r="P9" s="1">
        <v>260237</v>
      </c>
      <c r="Q9" s="1">
        <v>2686.38</v>
      </c>
      <c r="R9" s="1">
        <v>159.24</v>
      </c>
      <c r="S9" s="1">
        <v>389.13</v>
      </c>
      <c r="T9" s="1">
        <v>20532</v>
      </c>
      <c r="U9" s="3">
        <v>1373.9</v>
      </c>
      <c r="V9" s="1">
        <v>84.66</v>
      </c>
      <c r="W9" s="3">
        <v>133.3</v>
      </c>
      <c r="X9" s="1">
        <v>177.76</v>
      </c>
      <c r="AA9" s="1">
        <f t="shared" si="6"/>
        <v>0.314</v>
      </c>
      <c r="AB9" s="1">
        <f t="shared" si="7"/>
        <v>0.8405</v>
      </c>
      <c r="AC9" s="1">
        <f t="shared" si="8"/>
        <v>0.5188</v>
      </c>
      <c r="AD9" s="1">
        <f t="shared" si="9"/>
        <v>0.5004</v>
      </c>
      <c r="AE9" s="1">
        <f t="shared" si="10"/>
        <v>0.7879</v>
      </c>
      <c r="AF9" s="1">
        <f t="shared" si="11"/>
        <v>0.3816</v>
      </c>
      <c r="AG9" s="1">
        <f t="shared" si="12"/>
        <v>0.8966</v>
      </c>
      <c r="AH9" s="1">
        <f t="shared" si="13"/>
        <v>0.1642</v>
      </c>
      <c r="AI9" s="1">
        <f t="shared" si="14"/>
        <v>0.5294</v>
      </c>
      <c r="AJ9" s="1">
        <f t="shared" si="15"/>
        <v>0.2732</v>
      </c>
      <c r="AK9" s="1">
        <f t="shared" si="16"/>
        <v>0.8615</v>
      </c>
      <c r="AL9" s="1">
        <f t="shared" si="17"/>
        <v>0.8268</v>
      </c>
      <c r="AM9" s="1">
        <f t="shared" si="18"/>
        <v>0.8089</v>
      </c>
      <c r="AN9" s="1">
        <f t="shared" si="19"/>
        <v>0.8626</v>
      </c>
      <c r="AO9" s="1">
        <f t="shared" si="20"/>
        <v>0.2957</v>
      </c>
      <c r="AP9" s="1">
        <f t="shared" si="21"/>
        <v>0.1439</v>
      </c>
      <c r="AQ9" s="1">
        <f t="shared" si="22"/>
        <v>0.0831</v>
      </c>
      <c r="AR9" s="1">
        <f t="shared" si="23"/>
        <v>0.234</v>
      </c>
      <c r="AS9" s="1">
        <f t="shared" si="24"/>
        <v>0.2343</v>
      </c>
      <c r="AT9" s="1">
        <f t="shared" si="25"/>
        <v>0.9918</v>
      </c>
      <c r="AU9" s="1">
        <f t="shared" si="26"/>
        <v>0.6179</v>
      </c>
      <c r="AV9" s="1">
        <f t="shared" si="27"/>
        <v>0.408</v>
      </c>
      <c r="AW9" s="4">
        <f t="shared" si="28"/>
        <v>0.345</v>
      </c>
      <c r="BA9" s="1">
        <f t="shared" si="39"/>
        <v>0.0359683386980378</v>
      </c>
      <c r="BB9" s="1">
        <f t="shared" si="2"/>
        <v>0.0236181751763284</v>
      </c>
      <c r="BC9" s="1">
        <f t="shared" si="3"/>
        <v>0.0107101126750096</v>
      </c>
      <c r="BD9" s="1">
        <f t="shared" ref="BD9:BV9" si="44">AD9/SUM(AD$2:AD$91)</f>
        <v>0.00904287232273874</v>
      </c>
      <c r="BE9" s="1">
        <f t="shared" si="44"/>
        <v>0.026850554970539</v>
      </c>
      <c r="BF9" s="1">
        <f t="shared" si="44"/>
        <v>0.0464923609249738</v>
      </c>
      <c r="BG9" s="1">
        <f t="shared" si="44"/>
        <v>0.0317642515774072</v>
      </c>
      <c r="BH9" s="1">
        <f t="shared" si="44"/>
        <v>0.0339740539198444</v>
      </c>
      <c r="BI9" s="1">
        <f t="shared" si="44"/>
        <v>0.0612908827785818</v>
      </c>
      <c r="BJ9" s="1">
        <f t="shared" si="44"/>
        <v>0.0318608014181089</v>
      </c>
      <c r="BK9" s="1">
        <f t="shared" si="44"/>
        <v>0.0164893006163151</v>
      </c>
      <c r="BL9" s="1">
        <f t="shared" si="44"/>
        <v>0.0313910709336452</v>
      </c>
      <c r="BM9" s="1">
        <f t="shared" si="44"/>
        <v>0.02121565798964</v>
      </c>
      <c r="BN9" s="1">
        <f t="shared" si="44"/>
        <v>0.0374507769321275</v>
      </c>
      <c r="BO9" s="1">
        <f t="shared" si="44"/>
        <v>0.0379911092838605</v>
      </c>
      <c r="BP9" s="1">
        <f t="shared" si="44"/>
        <v>0.0232938357938358</v>
      </c>
      <c r="BQ9" s="1">
        <f t="shared" si="44"/>
        <v>0.0245147206324857</v>
      </c>
      <c r="BR9" s="1">
        <f t="shared" si="44"/>
        <v>0.0258912567217686</v>
      </c>
      <c r="BS9" s="1">
        <f t="shared" si="44"/>
        <v>0.0236985040508967</v>
      </c>
      <c r="BT9" s="1">
        <f t="shared" si="44"/>
        <v>0.0272971224902638</v>
      </c>
      <c r="BU9" s="1">
        <f t="shared" si="44"/>
        <v>0.0658201689444699</v>
      </c>
      <c r="BV9" s="1">
        <f t="shared" si="44"/>
        <v>0.0542286375054827</v>
      </c>
      <c r="CA9" s="1">
        <f t="shared" si="30"/>
        <v>-3.32511620810607</v>
      </c>
      <c r="CB9" s="1">
        <f t="shared" ref="CB9:CV9" si="45">IF(BB9=0,0,LN(BB9))</f>
        <v>-3.74573872876186</v>
      </c>
      <c r="CC9" s="1">
        <f t="shared" si="45"/>
        <v>-4.53656687403537</v>
      </c>
      <c r="CD9" s="1">
        <f t="shared" si="45"/>
        <v>-4.70577842022884</v>
      </c>
      <c r="CE9" s="1">
        <f t="shared" si="45"/>
        <v>-3.61746878894705</v>
      </c>
      <c r="CF9" s="1">
        <f t="shared" si="45"/>
        <v>-3.06846726106782</v>
      </c>
      <c r="CG9" s="1">
        <f t="shared" si="45"/>
        <v>-3.44941378577505</v>
      </c>
      <c r="CH9" s="1">
        <f t="shared" si="45"/>
        <v>-3.38215816569484</v>
      </c>
      <c r="CI9" s="1">
        <f t="shared" si="45"/>
        <v>-2.79212417828292</v>
      </c>
      <c r="CJ9" s="1">
        <f t="shared" si="45"/>
        <v>-3.44637882045034</v>
      </c>
      <c r="CK9" s="1">
        <f t="shared" si="45"/>
        <v>-4.10504355590466</v>
      </c>
      <c r="CL9" s="1">
        <f t="shared" si="45"/>
        <v>-3.46123179167791</v>
      </c>
      <c r="CM9" s="1">
        <f t="shared" si="45"/>
        <v>-3.85301578550643</v>
      </c>
      <c r="CN9" s="1">
        <f t="shared" si="45"/>
        <v>-3.2847278233829</v>
      </c>
      <c r="CO9" s="1">
        <f t="shared" si="45"/>
        <v>-3.27040311284431</v>
      </c>
      <c r="CP9" s="1">
        <f t="shared" si="45"/>
        <v>-3.75956651161665</v>
      </c>
      <c r="CQ9" s="1">
        <f t="shared" si="45"/>
        <v>-3.70848149972255</v>
      </c>
      <c r="CR9" s="1">
        <f t="shared" si="45"/>
        <v>-3.65384994557912</v>
      </c>
      <c r="CS9" s="1">
        <f t="shared" si="45"/>
        <v>-3.74234335304855</v>
      </c>
      <c r="CT9" s="1">
        <f t="shared" si="45"/>
        <v>-3.60097398563358</v>
      </c>
      <c r="CU9" s="1">
        <f t="shared" si="45"/>
        <v>-2.72082896870527</v>
      </c>
      <c r="CV9" s="1">
        <f t="shared" si="45"/>
        <v>-2.91454614281354</v>
      </c>
    </row>
    <row r="10" spans="1:100">
      <c r="A10" s="1" t="s">
        <v>26</v>
      </c>
      <c r="B10" s="1">
        <v>2023</v>
      </c>
      <c r="C10" s="1">
        <v>20011.65</v>
      </c>
      <c r="D10" s="1">
        <v>145471</v>
      </c>
      <c r="E10" s="1">
        <v>5.7</v>
      </c>
      <c r="F10" s="1">
        <v>32.89</v>
      </c>
      <c r="G10" s="1">
        <v>64.74</v>
      </c>
      <c r="H10" s="3">
        <v>1601.2</v>
      </c>
      <c r="I10" s="1">
        <f t="shared" si="38"/>
        <v>11625</v>
      </c>
      <c r="J10" s="1">
        <v>20.86</v>
      </c>
      <c r="K10" s="1">
        <v>511.76</v>
      </c>
      <c r="L10" s="3">
        <v>8198.3</v>
      </c>
      <c r="M10" s="1">
        <f t="shared" si="0"/>
        <v>59520</v>
      </c>
      <c r="N10" s="1">
        <v>61693</v>
      </c>
      <c r="O10" s="1">
        <v>31560</v>
      </c>
      <c r="P10" s="1">
        <v>279395</v>
      </c>
      <c r="Q10" s="1">
        <v>3010.77</v>
      </c>
      <c r="R10" s="1">
        <v>356.16</v>
      </c>
      <c r="S10" s="1">
        <v>422.65</v>
      </c>
      <c r="T10" s="1">
        <v>33346</v>
      </c>
      <c r="U10" s="3">
        <v>1377.4</v>
      </c>
      <c r="V10" s="1">
        <v>84.79</v>
      </c>
      <c r="W10" s="1">
        <v>136.99</v>
      </c>
      <c r="X10" s="1">
        <v>181.37</v>
      </c>
      <c r="AA10" s="1">
        <f t="shared" si="6"/>
        <v>0.3331</v>
      </c>
      <c r="AB10" s="1">
        <f t="shared" si="7"/>
        <v>0.902</v>
      </c>
      <c r="AC10" s="1">
        <f t="shared" si="8"/>
        <v>0.5827</v>
      </c>
      <c r="AD10" s="1">
        <f t="shared" si="9"/>
        <v>0.3963</v>
      </c>
      <c r="AE10" s="1">
        <f t="shared" si="10"/>
        <v>0.8941</v>
      </c>
      <c r="AF10" s="1">
        <f t="shared" si="11"/>
        <v>0.4061</v>
      </c>
      <c r="AG10" s="1">
        <f t="shared" si="12"/>
        <v>0.9586</v>
      </c>
      <c r="AH10" s="1">
        <f t="shared" si="13"/>
        <v>0.1675</v>
      </c>
      <c r="AI10" s="1">
        <f t="shared" si="14"/>
        <v>0.5159</v>
      </c>
      <c r="AJ10" s="1">
        <f t="shared" si="15"/>
        <v>0.3009</v>
      </c>
      <c r="AK10" s="1">
        <f t="shared" si="16"/>
        <v>0.9505</v>
      </c>
      <c r="AL10" s="1">
        <f t="shared" si="17"/>
        <v>0.9214</v>
      </c>
      <c r="AM10" s="1">
        <f t="shared" si="18"/>
        <v>0.911</v>
      </c>
      <c r="AN10" s="1">
        <f t="shared" si="19"/>
        <v>0.9405</v>
      </c>
      <c r="AO10" s="1">
        <f t="shared" si="20"/>
        <v>0.3314</v>
      </c>
      <c r="AP10" s="1">
        <f t="shared" si="21"/>
        <v>0.322</v>
      </c>
      <c r="AQ10" s="1">
        <f t="shared" si="22"/>
        <v>0.0902</v>
      </c>
      <c r="AR10" s="1">
        <f t="shared" si="23"/>
        <v>0.381</v>
      </c>
      <c r="AS10" s="1">
        <f t="shared" si="24"/>
        <v>0.2349</v>
      </c>
      <c r="AT10" s="1">
        <f t="shared" si="25"/>
        <v>0.995</v>
      </c>
      <c r="AU10" s="1">
        <f t="shared" si="26"/>
        <v>0.635</v>
      </c>
      <c r="AV10" s="1">
        <f t="shared" si="27"/>
        <v>0.4163</v>
      </c>
      <c r="AW10" s="4">
        <f t="shared" si="28"/>
        <v>0.386</v>
      </c>
      <c r="BA10" s="1">
        <f t="shared" si="39"/>
        <v>0.0381562217207528</v>
      </c>
      <c r="BB10" s="1">
        <f t="shared" si="2"/>
        <v>0.025346334335572</v>
      </c>
      <c r="BC10" s="1">
        <f t="shared" si="3"/>
        <v>0.0120292649493602</v>
      </c>
      <c r="BD10" s="1">
        <f t="shared" ref="BD10:BV10" si="46">AD10/SUM(AD$2:AD$91)</f>
        <v>0.00716165128197714</v>
      </c>
      <c r="BE10" s="1">
        <f t="shared" si="46"/>
        <v>0.030469705799161</v>
      </c>
      <c r="BF10" s="1">
        <f t="shared" si="46"/>
        <v>0.0494773264455762</v>
      </c>
      <c r="BG10" s="1">
        <f t="shared" si="46"/>
        <v>0.0339607534710044</v>
      </c>
      <c r="BH10" s="1">
        <f t="shared" si="46"/>
        <v>0.0346568455028863</v>
      </c>
      <c r="BI10" s="1">
        <f t="shared" si="46"/>
        <v>0.0597279305354559</v>
      </c>
      <c r="BJ10" s="1">
        <f t="shared" si="46"/>
        <v>0.0350911974623315</v>
      </c>
      <c r="BK10" s="1">
        <f t="shared" si="46"/>
        <v>0.0181927803085404</v>
      </c>
      <c r="BL10" s="1">
        <f t="shared" si="46"/>
        <v>0.0349827440230535</v>
      </c>
      <c r="BM10" s="1">
        <f t="shared" si="46"/>
        <v>0.0238935151793325</v>
      </c>
      <c r="BN10" s="1">
        <f t="shared" si="46"/>
        <v>0.0408328955537514</v>
      </c>
      <c r="BO10" s="1">
        <f t="shared" si="46"/>
        <v>0.0425777937662204</v>
      </c>
      <c r="BP10" s="1">
        <f t="shared" si="46"/>
        <v>0.0521238021238021</v>
      </c>
      <c r="BQ10" s="1">
        <f t="shared" si="46"/>
        <v>0.0266092394831553</v>
      </c>
      <c r="BR10" s="1">
        <f t="shared" si="46"/>
        <v>0.0421562769700591</v>
      </c>
      <c r="BS10" s="1">
        <f t="shared" si="46"/>
        <v>0.0237591916412959</v>
      </c>
      <c r="BT10" s="1">
        <f t="shared" si="46"/>
        <v>0.0273851954807547</v>
      </c>
      <c r="BU10" s="1">
        <f t="shared" si="46"/>
        <v>0.0676417013752037</v>
      </c>
      <c r="BV10" s="1">
        <f t="shared" si="46"/>
        <v>0.055331818121403</v>
      </c>
      <c r="CA10" s="1">
        <f t="shared" si="30"/>
        <v>-3.26606644881468</v>
      </c>
      <c r="CB10" s="1">
        <f t="shared" ref="CB10:CV10" si="47">IF(BB10=0,0,LN(BB10))</f>
        <v>-3.6751211615479</v>
      </c>
      <c r="CC10" s="1">
        <f t="shared" si="47"/>
        <v>-4.42041285232864</v>
      </c>
      <c r="CD10" s="1">
        <f t="shared" si="47"/>
        <v>-4.9390146986252</v>
      </c>
      <c r="CE10" s="1">
        <f t="shared" si="47"/>
        <v>-3.49102234145742</v>
      </c>
      <c r="CF10" s="1">
        <f t="shared" si="47"/>
        <v>-3.0062407659497</v>
      </c>
      <c r="CG10" s="1">
        <f t="shared" si="47"/>
        <v>-3.38254973077085</v>
      </c>
      <c r="CH10" s="1">
        <f t="shared" si="47"/>
        <v>-3.36226001144805</v>
      </c>
      <c r="CI10" s="1">
        <f t="shared" si="47"/>
        <v>-2.81795551982532</v>
      </c>
      <c r="CJ10" s="1">
        <f t="shared" si="47"/>
        <v>-3.34980496451098</v>
      </c>
      <c r="CK10" s="1">
        <f t="shared" si="47"/>
        <v>-4.00673044994416</v>
      </c>
      <c r="CL10" s="1">
        <f t="shared" si="47"/>
        <v>-3.3529003669837</v>
      </c>
      <c r="CM10" s="1">
        <f t="shared" si="47"/>
        <v>-3.73414818827038</v>
      </c>
      <c r="CN10" s="1">
        <f t="shared" si="47"/>
        <v>-3.19826725885556</v>
      </c>
      <c r="CO10" s="1">
        <f t="shared" si="47"/>
        <v>-3.15642243471028</v>
      </c>
      <c r="CP10" s="1">
        <f t="shared" si="47"/>
        <v>-2.95413357996556</v>
      </c>
      <c r="CQ10" s="1">
        <f t="shared" si="47"/>
        <v>-3.62649677451538</v>
      </c>
      <c r="CR10" s="1">
        <f t="shared" si="47"/>
        <v>-3.16637168581012</v>
      </c>
      <c r="CS10" s="1">
        <f t="shared" si="47"/>
        <v>-3.73978580689743</v>
      </c>
      <c r="CT10" s="1">
        <f t="shared" si="47"/>
        <v>-3.59775272253002</v>
      </c>
      <c r="CU10" s="1">
        <f t="shared" si="47"/>
        <v>-2.69353060187952</v>
      </c>
      <c r="CV10" s="1">
        <f t="shared" si="47"/>
        <v>-2.89440716301677</v>
      </c>
    </row>
    <row r="11" spans="1:100">
      <c r="A11" s="1" t="s">
        <v>26</v>
      </c>
      <c r="B11" s="1">
        <v>2024</v>
      </c>
      <c r="C11" s="1">
        <v>21106.23</v>
      </c>
      <c r="D11" s="1">
        <v>153037</v>
      </c>
      <c r="E11" s="1">
        <v>5.2</v>
      </c>
      <c r="F11" s="3">
        <v>31.2</v>
      </c>
      <c r="G11" s="3">
        <v>66.4</v>
      </c>
      <c r="H11" s="1">
        <v>1667.31</v>
      </c>
      <c r="I11" s="1">
        <f t="shared" si="38"/>
        <v>12074</v>
      </c>
      <c r="J11" s="1">
        <v>14.75</v>
      </c>
      <c r="K11" s="1">
        <v>566.37</v>
      </c>
      <c r="L11" s="3">
        <v>8629.3</v>
      </c>
      <c r="M11" s="1">
        <f t="shared" si="0"/>
        <v>62490</v>
      </c>
      <c r="N11" s="1">
        <v>64346</v>
      </c>
      <c r="O11" s="1">
        <v>33529</v>
      </c>
      <c r="P11" s="1">
        <v>294019</v>
      </c>
      <c r="Q11" s="1">
        <v>3284.19</v>
      </c>
      <c r="R11" s="1">
        <v>432.41</v>
      </c>
      <c r="S11" s="1">
        <v>473.42</v>
      </c>
      <c r="T11" s="1">
        <v>36000</v>
      </c>
      <c r="U11" s="1">
        <v>1380.91</v>
      </c>
      <c r="V11" s="3">
        <v>85</v>
      </c>
      <c r="W11" s="1">
        <v>141.16</v>
      </c>
      <c r="X11" s="1">
        <v>200.38</v>
      </c>
      <c r="AA11" s="1">
        <f t="shared" si="6"/>
        <v>0.3514</v>
      </c>
      <c r="AB11" s="1">
        <f t="shared" si="7"/>
        <v>0.9625</v>
      </c>
      <c r="AC11" s="1">
        <f t="shared" si="8"/>
        <v>0.5639</v>
      </c>
      <c r="AD11" s="1">
        <f t="shared" si="9"/>
        <v>0.3314</v>
      </c>
      <c r="AE11" s="1">
        <f t="shared" si="10"/>
        <v>0.9558</v>
      </c>
      <c r="AF11" s="1">
        <f t="shared" si="11"/>
        <v>0.4229</v>
      </c>
      <c r="AG11" s="1">
        <f t="shared" si="12"/>
        <v>1</v>
      </c>
      <c r="AH11" s="1">
        <f t="shared" si="13"/>
        <v>0.1184</v>
      </c>
      <c r="AI11" s="1">
        <f t="shared" si="14"/>
        <v>0.571</v>
      </c>
      <c r="AJ11" s="1">
        <f t="shared" si="15"/>
        <v>0.3168</v>
      </c>
      <c r="AK11" s="1">
        <f t="shared" si="16"/>
        <v>1</v>
      </c>
      <c r="AL11" s="1">
        <f t="shared" si="17"/>
        <v>1</v>
      </c>
      <c r="AM11" s="1">
        <f t="shared" si="18"/>
        <v>1</v>
      </c>
      <c r="AN11" s="1">
        <f t="shared" si="19"/>
        <v>1</v>
      </c>
      <c r="AO11" s="1">
        <f t="shared" si="20"/>
        <v>0.3615</v>
      </c>
      <c r="AP11" s="1">
        <f t="shared" si="21"/>
        <v>0.3909</v>
      </c>
      <c r="AQ11" s="1">
        <f t="shared" si="22"/>
        <v>0.1011</v>
      </c>
      <c r="AR11" s="1">
        <f t="shared" si="23"/>
        <v>0.4115</v>
      </c>
      <c r="AS11" s="1">
        <f t="shared" si="24"/>
        <v>0.2355</v>
      </c>
      <c r="AT11" s="1">
        <f t="shared" si="25"/>
        <v>1</v>
      </c>
      <c r="AU11" s="1">
        <f t="shared" si="26"/>
        <v>0.6543</v>
      </c>
      <c r="AV11" s="1">
        <f t="shared" si="27"/>
        <v>0.4601</v>
      </c>
      <c r="AW11" s="4">
        <f t="shared" si="28"/>
        <v>0.4092</v>
      </c>
      <c r="BA11" s="1">
        <f t="shared" si="39"/>
        <v>0.0402524656639824</v>
      </c>
      <c r="BB11" s="1">
        <f t="shared" si="2"/>
        <v>0.0270463933458847</v>
      </c>
      <c r="BC11" s="1">
        <f t="shared" si="3"/>
        <v>0.0116411575509597</v>
      </c>
      <c r="BD11" s="1">
        <f t="shared" ref="BD11:BV11" si="48">AD11/SUM(AD$2:AD$91)</f>
        <v>0.00598882471573865</v>
      </c>
      <c r="BE11" s="1">
        <f t="shared" si="48"/>
        <v>0.0325723574575977</v>
      </c>
      <c r="BF11" s="1">
        <f t="shared" si="48"/>
        <v>0.0515241599454178</v>
      </c>
      <c r="BG11" s="1">
        <f t="shared" si="48"/>
        <v>0.035427449896729</v>
      </c>
      <c r="BH11" s="1">
        <f t="shared" si="48"/>
        <v>0.0244977343733835</v>
      </c>
      <c r="BI11" s="1">
        <f t="shared" si="48"/>
        <v>0.0661070911722142</v>
      </c>
      <c r="BJ11" s="1">
        <f t="shared" si="48"/>
        <v>0.0369454681158745</v>
      </c>
      <c r="BK11" s="1">
        <f t="shared" si="48"/>
        <v>0.0191402212609578</v>
      </c>
      <c r="BL11" s="1">
        <f t="shared" si="48"/>
        <v>0.0379669459768326</v>
      </c>
      <c r="BM11" s="1">
        <f t="shared" si="48"/>
        <v>0.0262277883417481</v>
      </c>
      <c r="BN11" s="1">
        <f t="shared" si="48"/>
        <v>0.0434161568886245</v>
      </c>
      <c r="BO11" s="1">
        <f t="shared" si="48"/>
        <v>0.0464449983297788</v>
      </c>
      <c r="BP11" s="1">
        <f t="shared" si="48"/>
        <v>0.0632770007770008</v>
      </c>
      <c r="BQ11" s="1">
        <f t="shared" si="48"/>
        <v>0.0298247684229158</v>
      </c>
      <c r="BR11" s="1">
        <f t="shared" si="48"/>
        <v>0.0455309920555887</v>
      </c>
      <c r="BS11" s="1">
        <f t="shared" si="48"/>
        <v>0.0238198792316951</v>
      </c>
      <c r="BT11" s="1">
        <f t="shared" si="48"/>
        <v>0.0275228095283966</v>
      </c>
      <c r="BU11" s="1">
        <f t="shared" si="48"/>
        <v>0.0696975830075524</v>
      </c>
      <c r="BV11" s="1">
        <f t="shared" si="48"/>
        <v>0.0611534218536093</v>
      </c>
      <c r="CA11" s="1">
        <f t="shared" si="30"/>
        <v>-3.21258401826132</v>
      </c>
      <c r="CB11" s="1">
        <f t="shared" ref="CB11:CV11" si="49">IF(BB11=0,0,LN(BB11))</f>
        <v>-3.61020161544859</v>
      </c>
      <c r="CC11" s="1">
        <f t="shared" si="49"/>
        <v>-4.45320839566453</v>
      </c>
      <c r="CD11" s="1">
        <f t="shared" si="49"/>
        <v>-5.11786009382913</v>
      </c>
      <c r="CE11" s="1">
        <f t="shared" si="49"/>
        <v>-3.42429128105464</v>
      </c>
      <c r="CF11" s="1">
        <f t="shared" si="49"/>
        <v>-2.96570445616351</v>
      </c>
      <c r="CG11" s="1">
        <f t="shared" si="49"/>
        <v>-3.34026833851425</v>
      </c>
      <c r="CH11" s="1">
        <f t="shared" si="49"/>
        <v>-3.70917464026327</v>
      </c>
      <c r="CI11" s="1">
        <f t="shared" si="49"/>
        <v>-2.71647925841992</v>
      </c>
      <c r="CJ11" s="1">
        <f t="shared" si="49"/>
        <v>-3.29831228820671</v>
      </c>
      <c r="CK11" s="1">
        <f t="shared" si="49"/>
        <v>-3.95596333289051</v>
      </c>
      <c r="CL11" s="1">
        <f t="shared" si="49"/>
        <v>-3.27103934050338</v>
      </c>
      <c r="CM11" s="1">
        <f t="shared" si="49"/>
        <v>-3.6409358065482</v>
      </c>
      <c r="CN11" s="1">
        <f t="shared" si="49"/>
        <v>-3.1369236286145</v>
      </c>
      <c r="CO11" s="1">
        <f t="shared" si="49"/>
        <v>-3.06948649810392</v>
      </c>
      <c r="CP11" s="1">
        <f t="shared" si="49"/>
        <v>-2.76023335271106</v>
      </c>
      <c r="CQ11" s="1">
        <f t="shared" si="49"/>
        <v>-3.51241607555753</v>
      </c>
      <c r="CR11" s="1">
        <f t="shared" si="49"/>
        <v>-3.0893620408197</v>
      </c>
      <c r="CS11" s="1">
        <f t="shared" si="49"/>
        <v>-3.73723478510582</v>
      </c>
      <c r="CT11" s="1">
        <f t="shared" si="49"/>
        <v>-3.59274018070648</v>
      </c>
      <c r="CU11" s="1">
        <f t="shared" si="49"/>
        <v>-2.66358963889652</v>
      </c>
      <c r="CV11" s="1">
        <f t="shared" si="49"/>
        <v>-2.79436946005628</v>
      </c>
    </row>
    <row r="12" spans="1:100">
      <c r="A12" s="1" t="s">
        <v>27</v>
      </c>
      <c r="B12" s="1">
        <v>2020</v>
      </c>
      <c r="C12" s="1">
        <v>1641.32</v>
      </c>
      <c r="D12" s="1">
        <v>66439</v>
      </c>
      <c r="E12" s="1">
        <v>-5.9</v>
      </c>
      <c r="F12" s="1">
        <v>48.61</v>
      </c>
      <c r="G12" s="1">
        <v>44.34</v>
      </c>
      <c r="H12" s="1">
        <v>88.23</v>
      </c>
      <c r="I12" s="1">
        <f t="shared" si="38"/>
        <v>3573</v>
      </c>
      <c r="J12" s="2">
        <v>1.99</v>
      </c>
      <c r="K12" s="1">
        <v>34.58</v>
      </c>
      <c r="L12" s="3">
        <v>781.5</v>
      </c>
      <c r="M12" s="1">
        <f t="shared" si="0"/>
        <v>31651</v>
      </c>
      <c r="N12" s="1">
        <v>37912</v>
      </c>
      <c r="O12" s="1">
        <v>16549</v>
      </c>
      <c r="P12" s="1">
        <v>81259</v>
      </c>
      <c r="Q12" s="1">
        <v>78.59</v>
      </c>
      <c r="R12" s="1">
        <v>8.83</v>
      </c>
      <c r="S12" s="1">
        <v>80.34</v>
      </c>
      <c r="T12" s="1">
        <v>1244</v>
      </c>
      <c r="U12" s="1">
        <v>246.91</v>
      </c>
      <c r="V12" s="1">
        <v>65.96</v>
      </c>
      <c r="W12" s="1">
        <v>5.43</v>
      </c>
      <c r="X12" s="1">
        <v>5.91</v>
      </c>
      <c r="AA12" s="1">
        <f t="shared" si="6"/>
        <v>0.0269</v>
      </c>
      <c r="AB12" s="1">
        <f t="shared" si="7"/>
        <v>0.2701</v>
      </c>
      <c r="AC12" s="1">
        <f t="shared" si="8"/>
        <v>0.1466</v>
      </c>
      <c r="AD12" s="1">
        <f t="shared" si="9"/>
        <v>1</v>
      </c>
      <c r="AE12" s="1">
        <f t="shared" si="10"/>
        <v>0.1363</v>
      </c>
      <c r="AF12" s="1">
        <f t="shared" si="11"/>
        <v>0.0215</v>
      </c>
      <c r="AG12" s="1">
        <f t="shared" si="12"/>
        <v>0.2162</v>
      </c>
      <c r="AH12" s="1">
        <f t="shared" si="13"/>
        <v>0.016</v>
      </c>
      <c r="AI12" s="1">
        <f t="shared" si="14"/>
        <v>0.0349</v>
      </c>
      <c r="AJ12" s="1">
        <f t="shared" si="15"/>
        <v>0.0282</v>
      </c>
      <c r="AK12" s="1">
        <f t="shared" si="16"/>
        <v>0.4862</v>
      </c>
      <c r="AL12" s="1">
        <f t="shared" si="17"/>
        <v>0.217</v>
      </c>
      <c r="AM12" s="1">
        <f t="shared" si="18"/>
        <v>0.2321</v>
      </c>
      <c r="AN12" s="1">
        <f t="shared" si="19"/>
        <v>0.1348</v>
      </c>
      <c r="AO12" s="1">
        <f t="shared" si="20"/>
        <v>0.0085</v>
      </c>
      <c r="AP12" s="1">
        <f t="shared" si="21"/>
        <v>0.0079</v>
      </c>
      <c r="AQ12" s="1">
        <f t="shared" si="22"/>
        <v>0.017</v>
      </c>
      <c r="AR12" s="1">
        <f t="shared" si="23"/>
        <v>0.0127</v>
      </c>
      <c r="AS12" s="1">
        <f t="shared" si="24"/>
        <v>0.0413</v>
      </c>
      <c r="AT12" s="1">
        <f t="shared" si="25"/>
        <v>0.5422</v>
      </c>
      <c r="AU12" s="1">
        <f t="shared" si="26"/>
        <v>0.0252</v>
      </c>
      <c r="AV12" s="1">
        <f t="shared" si="27"/>
        <v>0.0123</v>
      </c>
      <c r="AW12" s="4">
        <f t="shared" si="28"/>
        <v>0.0428</v>
      </c>
      <c r="BA12" s="1">
        <f t="shared" si="39"/>
        <v>0.00308136404769814</v>
      </c>
      <c r="BB12" s="1">
        <f t="shared" si="2"/>
        <v>0.0075898502262062</v>
      </c>
      <c r="BC12" s="1">
        <f t="shared" si="3"/>
        <v>0.00302641194710178</v>
      </c>
      <c r="BD12" s="1">
        <f t="shared" ref="BD12:BV12" si="50">AD12/SUM(AD$2:AD$91)</f>
        <v>0.0180712876153852</v>
      </c>
      <c r="BE12" s="1">
        <f t="shared" si="50"/>
        <v>0.0046449176830619</v>
      </c>
      <c r="BF12" s="1">
        <f t="shared" si="50"/>
        <v>0.00261945953848778</v>
      </c>
      <c r="BG12" s="1">
        <f t="shared" si="50"/>
        <v>0.0076594146676728</v>
      </c>
      <c r="BH12" s="1">
        <f t="shared" si="50"/>
        <v>0.00331050464505183</v>
      </c>
      <c r="BI12" s="1">
        <f t="shared" si="50"/>
        <v>0.00404052098408104</v>
      </c>
      <c r="BJ12" s="1">
        <f t="shared" si="50"/>
        <v>0.00328870644213276</v>
      </c>
      <c r="BK12" s="1">
        <f t="shared" si="50"/>
        <v>0.00930597557707767</v>
      </c>
      <c r="BL12" s="1">
        <f t="shared" si="50"/>
        <v>0.00823882727697267</v>
      </c>
      <c r="BM12" s="1">
        <f t="shared" si="50"/>
        <v>0.00608746967411973</v>
      </c>
      <c r="BN12" s="1">
        <f t="shared" si="50"/>
        <v>0.00585249794858659</v>
      </c>
      <c r="BO12" s="1">
        <f t="shared" si="50"/>
        <v>0.00109206773389521</v>
      </c>
      <c r="BP12" s="1">
        <f t="shared" si="50"/>
        <v>0.00127881377881378</v>
      </c>
      <c r="BQ12" s="1">
        <f t="shared" si="50"/>
        <v>0.00501504513540622</v>
      </c>
      <c r="BR12" s="1">
        <f t="shared" si="50"/>
        <v>0.0014052092323353</v>
      </c>
      <c r="BS12" s="1">
        <f t="shared" si="50"/>
        <v>0.00417732913914653</v>
      </c>
      <c r="BT12" s="1">
        <f t="shared" si="50"/>
        <v>0.0149228673262967</v>
      </c>
      <c r="BU12" s="1">
        <f t="shared" si="50"/>
        <v>0.00268436358213407</v>
      </c>
      <c r="BV12" s="1">
        <f t="shared" si="50"/>
        <v>0.00163483392479764</v>
      </c>
      <c r="CA12" s="1">
        <f t="shared" si="30"/>
        <v>-5.78238290740653</v>
      </c>
      <c r="CB12" s="1">
        <f t="shared" ref="CB12:CV12" si="51">IF(BB12=0,0,LN(BB12))</f>
        <v>-4.88094342081196</v>
      </c>
      <c r="CC12" s="1">
        <f t="shared" si="51"/>
        <v>-5.80037753702511</v>
      </c>
      <c r="CD12" s="1">
        <f t="shared" si="51"/>
        <v>-4.01343091983946</v>
      </c>
      <c r="CE12" s="1">
        <f t="shared" si="51"/>
        <v>-5.37198162849621</v>
      </c>
      <c r="CF12" s="1">
        <f t="shared" si="51"/>
        <v>-5.94478726550833</v>
      </c>
      <c r="CG12" s="1">
        <f t="shared" si="51"/>
        <v>-4.87181971229128</v>
      </c>
      <c r="CH12" s="1">
        <f t="shared" si="51"/>
        <v>-5.71065464047339</v>
      </c>
      <c r="CI12" s="1">
        <f t="shared" si="51"/>
        <v>-5.51138163886754</v>
      </c>
      <c r="CJ12" s="1">
        <f t="shared" si="51"/>
        <v>-5.71726097020291</v>
      </c>
      <c r="CK12" s="1">
        <f t="shared" si="51"/>
        <v>-4.67709854999063</v>
      </c>
      <c r="CL12" s="1">
        <f t="shared" si="51"/>
        <v>-4.79889726594506</v>
      </c>
      <c r="CM12" s="1">
        <f t="shared" si="51"/>
        <v>-5.10152277224995</v>
      </c>
      <c r="CN12" s="1">
        <f t="shared" si="51"/>
        <v>-5.14088670911844</v>
      </c>
      <c r="CO12" s="1">
        <f t="shared" si="51"/>
        <v>-6.81968237620647</v>
      </c>
      <c r="CP12" s="1">
        <f t="shared" si="51"/>
        <v>-6.661822366037</v>
      </c>
      <c r="CQ12" s="1">
        <f t="shared" si="51"/>
        <v>-5.29531285752774</v>
      </c>
      <c r="CR12" s="1">
        <f t="shared" si="51"/>
        <v>-6.56756906747228</v>
      </c>
      <c r="CS12" s="1">
        <f t="shared" si="51"/>
        <v>-5.47808319859531</v>
      </c>
      <c r="CT12" s="1">
        <f t="shared" si="51"/>
        <v>-4.20486052262405</v>
      </c>
      <c r="CU12" s="1">
        <f t="shared" si="51"/>
        <v>-5.92031160625483</v>
      </c>
      <c r="CV12" s="1">
        <f t="shared" si="51"/>
        <v>-6.41621405483933</v>
      </c>
    </row>
    <row r="13" spans="1:100">
      <c r="A13" s="1" t="s">
        <v>27</v>
      </c>
      <c r="B13" s="1">
        <v>2021</v>
      </c>
      <c r="C13" s="1">
        <v>1865.68</v>
      </c>
      <c r="D13" s="1">
        <v>76275</v>
      </c>
      <c r="E13" s="2">
        <v>13</v>
      </c>
      <c r="F13" s="1">
        <v>45.34</v>
      </c>
      <c r="G13" s="1">
        <v>47.83</v>
      </c>
      <c r="H13" s="1">
        <v>125.69</v>
      </c>
      <c r="I13" s="1">
        <f t="shared" si="38"/>
        <v>5142</v>
      </c>
      <c r="J13" s="1">
        <v>2.51</v>
      </c>
      <c r="K13" s="1">
        <v>50.83</v>
      </c>
      <c r="L13" s="1">
        <v>1011.25</v>
      </c>
      <c r="M13" s="1">
        <f t="shared" si="0"/>
        <v>41372</v>
      </c>
      <c r="N13" s="1">
        <v>41589</v>
      </c>
      <c r="O13" s="1">
        <v>18585</v>
      </c>
      <c r="P13" s="1">
        <v>89721</v>
      </c>
      <c r="Q13" s="3">
        <v>102.9</v>
      </c>
      <c r="R13" s="1">
        <v>4.56</v>
      </c>
      <c r="S13" s="1">
        <v>99.45</v>
      </c>
      <c r="T13" s="1">
        <v>1785</v>
      </c>
      <c r="U13" s="1">
        <v>244.43</v>
      </c>
      <c r="V13" s="3">
        <v>66.3</v>
      </c>
      <c r="W13" s="1">
        <v>5.78</v>
      </c>
      <c r="X13" s="1">
        <v>6.74</v>
      </c>
      <c r="AA13" s="1">
        <f t="shared" si="6"/>
        <v>0.0306</v>
      </c>
      <c r="AB13" s="1">
        <f t="shared" si="7"/>
        <v>0.3488</v>
      </c>
      <c r="AC13" s="1">
        <f t="shared" si="8"/>
        <v>0.8571</v>
      </c>
      <c r="AD13" s="1">
        <f t="shared" si="9"/>
        <v>0.8744</v>
      </c>
      <c r="AE13" s="1">
        <f t="shared" si="10"/>
        <v>0.266</v>
      </c>
      <c r="AF13" s="1">
        <f t="shared" si="11"/>
        <v>0.031</v>
      </c>
      <c r="AG13" s="1">
        <f t="shared" si="12"/>
        <v>0.3609</v>
      </c>
      <c r="AH13" s="1">
        <f t="shared" si="13"/>
        <v>0.0202</v>
      </c>
      <c r="AI13" s="1">
        <f t="shared" si="14"/>
        <v>0.0512</v>
      </c>
      <c r="AJ13" s="1">
        <f t="shared" si="15"/>
        <v>0.0366</v>
      </c>
      <c r="AK13" s="1">
        <f t="shared" si="16"/>
        <v>0.6482</v>
      </c>
      <c r="AL13" s="1">
        <f t="shared" si="17"/>
        <v>0.3259</v>
      </c>
      <c r="AM13" s="1">
        <f t="shared" si="18"/>
        <v>0.3242</v>
      </c>
      <c r="AN13" s="1">
        <f t="shared" si="19"/>
        <v>0.1692</v>
      </c>
      <c r="AO13" s="1">
        <f t="shared" si="20"/>
        <v>0.0112</v>
      </c>
      <c r="AP13" s="1">
        <f t="shared" si="21"/>
        <v>0.004</v>
      </c>
      <c r="AQ13" s="1">
        <f t="shared" si="22"/>
        <v>0.0211</v>
      </c>
      <c r="AR13" s="1">
        <f t="shared" si="23"/>
        <v>0.0189</v>
      </c>
      <c r="AS13" s="1">
        <f t="shared" si="24"/>
        <v>0.0409</v>
      </c>
      <c r="AT13" s="1">
        <f t="shared" si="25"/>
        <v>0.5504</v>
      </c>
      <c r="AU13" s="1">
        <f t="shared" si="26"/>
        <v>0.0268</v>
      </c>
      <c r="AV13" s="1">
        <f t="shared" si="27"/>
        <v>0.0142</v>
      </c>
      <c r="AW13" s="4">
        <f t="shared" si="28"/>
        <v>0.0574</v>
      </c>
      <c r="BA13" s="1">
        <f t="shared" si="39"/>
        <v>0.00350519479031833</v>
      </c>
      <c r="BB13" s="1">
        <f t="shared" si="2"/>
        <v>0.00980133194705932</v>
      </c>
      <c r="BC13" s="1">
        <f t="shared" si="3"/>
        <v>0.0176939814451633</v>
      </c>
      <c r="BD13" s="1">
        <f t="shared" ref="BD13:BV13" si="52">AD13/SUM(AD$2:AD$91)</f>
        <v>0.0158015338908928</v>
      </c>
      <c r="BE13" s="1">
        <f t="shared" si="52"/>
        <v>0.00906491638807385</v>
      </c>
      <c r="BF13" s="1">
        <f t="shared" si="52"/>
        <v>0.00377689514851726</v>
      </c>
      <c r="BG13" s="1">
        <f t="shared" si="52"/>
        <v>0.0127857666677295</v>
      </c>
      <c r="BH13" s="1">
        <f t="shared" si="52"/>
        <v>0.00417951211437793</v>
      </c>
      <c r="BI13" s="1">
        <f t="shared" si="52"/>
        <v>0.00592764109985528</v>
      </c>
      <c r="BJ13" s="1">
        <f t="shared" si="52"/>
        <v>0.00426832112702337</v>
      </c>
      <c r="BK13" s="1">
        <f t="shared" si="52"/>
        <v>0.0124066914213528</v>
      </c>
      <c r="BL13" s="1">
        <f t="shared" si="52"/>
        <v>0.0123734276938497</v>
      </c>
      <c r="BM13" s="1">
        <f t="shared" si="52"/>
        <v>0.00850304898039473</v>
      </c>
      <c r="BN13" s="1">
        <f t="shared" si="52"/>
        <v>0.00734601374555527</v>
      </c>
      <c r="BO13" s="1">
        <f t="shared" si="52"/>
        <v>0.0014389598376031</v>
      </c>
      <c r="BP13" s="1">
        <f t="shared" si="52"/>
        <v>0.000647500647500647</v>
      </c>
      <c r="BQ13" s="1">
        <f t="shared" si="52"/>
        <v>0.00622455602100419</v>
      </c>
      <c r="BR13" s="1">
        <f t="shared" si="52"/>
        <v>0.00209121688906592</v>
      </c>
      <c r="BS13" s="1">
        <f t="shared" si="52"/>
        <v>0.00413687074554705</v>
      </c>
      <c r="BT13" s="1">
        <f t="shared" si="52"/>
        <v>0.0151485543644295</v>
      </c>
      <c r="BU13" s="1">
        <f t="shared" si="52"/>
        <v>0.00285479936512671</v>
      </c>
      <c r="BV13" s="1">
        <f t="shared" si="52"/>
        <v>0.00188736924651435</v>
      </c>
      <c r="CA13" s="1">
        <f t="shared" si="30"/>
        <v>-5.65350918505598</v>
      </c>
      <c r="CB13" s="1">
        <f t="shared" ref="CB13:CV13" si="53">IF(BB13=0,0,LN(BB13))</f>
        <v>-4.6252369895757</v>
      </c>
      <c r="CC13" s="1">
        <f t="shared" si="53"/>
        <v>-4.03453072857283</v>
      </c>
      <c r="CD13" s="1">
        <f t="shared" si="53"/>
        <v>-4.14764826195926</v>
      </c>
      <c r="CE13" s="1">
        <f t="shared" si="53"/>
        <v>-4.70334365841699</v>
      </c>
      <c r="CF13" s="1">
        <f t="shared" si="53"/>
        <v>-5.5788529961568</v>
      </c>
      <c r="CG13" s="1">
        <f t="shared" si="53"/>
        <v>-4.35942270584764</v>
      </c>
      <c r="CH13" s="1">
        <f t="shared" si="53"/>
        <v>-5.47756075830601</v>
      </c>
      <c r="CI13" s="1">
        <f t="shared" si="53"/>
        <v>-5.12812893603046</v>
      </c>
      <c r="CJ13" s="1">
        <f t="shared" si="53"/>
        <v>-5.45653470773966</v>
      </c>
      <c r="CK13" s="1">
        <f t="shared" si="53"/>
        <v>-4.3895193211652</v>
      </c>
      <c r="CL13" s="1">
        <f t="shared" si="53"/>
        <v>-4.392204033642</v>
      </c>
      <c r="CM13" s="1">
        <f t="shared" si="53"/>
        <v>-4.76733047622876</v>
      </c>
      <c r="CN13" s="1">
        <f t="shared" si="53"/>
        <v>-4.91359746042452</v>
      </c>
      <c r="CO13" s="1">
        <f t="shared" si="53"/>
        <v>-6.54383476140169</v>
      </c>
      <c r="CP13" s="1">
        <f t="shared" si="53"/>
        <v>-7.34239076439008</v>
      </c>
      <c r="CQ13" s="1">
        <f t="shared" si="53"/>
        <v>-5.07925316110193</v>
      </c>
      <c r="CR13" s="1">
        <f t="shared" si="53"/>
        <v>-6.17000913887123</v>
      </c>
      <c r="CS13" s="1">
        <f t="shared" si="53"/>
        <v>-5.48781563551354</v>
      </c>
      <c r="CT13" s="1">
        <f t="shared" si="53"/>
        <v>-4.18985017306948</v>
      </c>
      <c r="CU13" s="1">
        <f t="shared" si="53"/>
        <v>-5.8587537132554</v>
      </c>
      <c r="CV13" s="1">
        <f t="shared" si="53"/>
        <v>-6.27257135261049</v>
      </c>
    </row>
    <row r="14" spans="1:100">
      <c r="A14" s="1" t="s">
        <v>27</v>
      </c>
      <c r="B14" s="1">
        <v>2022</v>
      </c>
      <c r="C14" s="1">
        <v>2041.51</v>
      </c>
      <c r="D14" s="1">
        <v>83526</v>
      </c>
      <c r="E14" s="1">
        <v>5.6</v>
      </c>
      <c r="F14" s="1">
        <v>47.53</v>
      </c>
      <c r="G14" s="1">
        <v>45.57</v>
      </c>
      <c r="H14" s="1">
        <v>136.75</v>
      </c>
      <c r="I14" s="1">
        <f t="shared" si="38"/>
        <v>5595</v>
      </c>
      <c r="J14" s="1">
        <v>0.32</v>
      </c>
      <c r="K14" s="1">
        <v>61.25</v>
      </c>
      <c r="L14" s="1">
        <v>1044.58</v>
      </c>
      <c r="M14" s="1">
        <f t="shared" si="0"/>
        <v>42741</v>
      </c>
      <c r="N14" s="1">
        <v>44417</v>
      </c>
      <c r="O14" s="1">
        <v>20127</v>
      </c>
      <c r="P14" s="1">
        <v>100871</v>
      </c>
      <c r="Q14" s="1">
        <v>105.34</v>
      </c>
      <c r="R14" s="1">
        <v>3.33</v>
      </c>
      <c r="S14" s="1">
        <v>120.33</v>
      </c>
      <c r="T14" s="1">
        <v>1735</v>
      </c>
      <c r="U14" s="3">
        <v>244.4</v>
      </c>
      <c r="V14" s="1">
        <v>67.04</v>
      </c>
      <c r="W14" s="1">
        <v>6.12</v>
      </c>
      <c r="X14" s="1">
        <v>7.81</v>
      </c>
      <c r="AA14" s="1">
        <f t="shared" si="6"/>
        <v>0.0335</v>
      </c>
      <c r="AB14" s="1">
        <f t="shared" si="7"/>
        <v>0.4068</v>
      </c>
      <c r="AC14" s="1">
        <f t="shared" si="8"/>
        <v>0.5789</v>
      </c>
      <c r="AD14" s="1">
        <f t="shared" si="9"/>
        <v>0.9585</v>
      </c>
      <c r="AE14" s="1">
        <f t="shared" si="10"/>
        <v>0.182</v>
      </c>
      <c r="AF14" s="1">
        <f t="shared" si="11"/>
        <v>0.0338</v>
      </c>
      <c r="AG14" s="1">
        <f t="shared" si="12"/>
        <v>0.4026</v>
      </c>
      <c r="AH14" s="1">
        <f t="shared" si="13"/>
        <v>0.0026</v>
      </c>
      <c r="AI14" s="1">
        <f t="shared" si="14"/>
        <v>0.0617</v>
      </c>
      <c r="AJ14" s="1">
        <f t="shared" si="15"/>
        <v>0.0379</v>
      </c>
      <c r="AK14" s="1">
        <f t="shared" si="16"/>
        <v>0.671</v>
      </c>
      <c r="AL14" s="1">
        <f t="shared" si="17"/>
        <v>0.4097</v>
      </c>
      <c r="AM14" s="1">
        <f t="shared" si="18"/>
        <v>0.3939</v>
      </c>
      <c r="AN14" s="1">
        <f t="shared" si="19"/>
        <v>0.2146</v>
      </c>
      <c r="AO14" s="1">
        <f t="shared" si="20"/>
        <v>0.0114</v>
      </c>
      <c r="AP14" s="1">
        <f t="shared" si="21"/>
        <v>0.0029</v>
      </c>
      <c r="AQ14" s="1">
        <f t="shared" si="22"/>
        <v>0.0256</v>
      </c>
      <c r="AR14" s="1">
        <f t="shared" si="23"/>
        <v>0.0184</v>
      </c>
      <c r="AS14" s="1">
        <f t="shared" si="24"/>
        <v>0.0409</v>
      </c>
      <c r="AT14" s="1">
        <f t="shared" si="25"/>
        <v>0.5682</v>
      </c>
      <c r="AU14" s="1">
        <f t="shared" si="26"/>
        <v>0.0284</v>
      </c>
      <c r="AV14" s="1">
        <f t="shared" si="27"/>
        <v>0.0166</v>
      </c>
      <c r="AW14" s="4">
        <f t="shared" si="28"/>
        <v>0.0582</v>
      </c>
      <c r="BA14" s="1">
        <f t="shared" si="39"/>
        <v>0.00383738645345308</v>
      </c>
      <c r="BB14" s="1">
        <f t="shared" si="2"/>
        <v>0.0114311405850451</v>
      </c>
      <c r="BC14" s="1">
        <f t="shared" si="3"/>
        <v>0.011950817709258</v>
      </c>
      <c r="BD14" s="1">
        <f t="shared" ref="BD14:BV14" si="54">AD14/SUM(AD$2:AD$91)</f>
        <v>0.0173213291793467</v>
      </c>
      <c r="BE14" s="1">
        <f t="shared" si="54"/>
        <v>0.00620231121289263</v>
      </c>
      <c r="BF14" s="1">
        <f t="shared" si="54"/>
        <v>0.00411803406515753</v>
      </c>
      <c r="BG14" s="1">
        <f t="shared" si="54"/>
        <v>0.0142630913284231</v>
      </c>
      <c r="BH14" s="1">
        <f t="shared" si="54"/>
        <v>0.000537957004820922</v>
      </c>
      <c r="BI14" s="1">
        <f t="shared" si="54"/>
        <v>0.00714327062228654</v>
      </c>
      <c r="BJ14" s="1">
        <f t="shared" si="54"/>
        <v>0.00441992816158978</v>
      </c>
      <c r="BK14" s="1">
        <f t="shared" si="54"/>
        <v>0.0128430884661027</v>
      </c>
      <c r="BL14" s="1">
        <f t="shared" si="54"/>
        <v>0.0155550577667083</v>
      </c>
      <c r="BM14" s="1">
        <f t="shared" si="54"/>
        <v>0.0103311258278146</v>
      </c>
      <c r="BN14" s="1">
        <f t="shared" si="54"/>
        <v>0.00931710726829882</v>
      </c>
      <c r="BO14" s="1">
        <f t="shared" si="54"/>
        <v>0.00146465554898887</v>
      </c>
      <c r="BP14" s="1">
        <f t="shared" si="54"/>
        <v>0.000469437969437969</v>
      </c>
      <c r="BQ14" s="1">
        <f t="shared" si="54"/>
        <v>0.00755206796861172</v>
      </c>
      <c r="BR14" s="1">
        <f t="shared" si="54"/>
        <v>0.00203589369094249</v>
      </c>
      <c r="BS14" s="1">
        <f t="shared" si="54"/>
        <v>0.00413687074554705</v>
      </c>
      <c r="BT14" s="1">
        <f t="shared" si="54"/>
        <v>0.015638460374035</v>
      </c>
      <c r="BU14" s="1">
        <f t="shared" si="54"/>
        <v>0.00302523514811935</v>
      </c>
      <c r="BV14" s="1">
        <f t="shared" si="54"/>
        <v>0.00220636123184072</v>
      </c>
      <c r="CA14" s="1">
        <f t="shared" si="30"/>
        <v>-5.5629637551833</v>
      </c>
      <c r="CB14" s="1">
        <f t="shared" ref="CB14:CV14" si="55">IF(BB14=0,0,LN(BB14))</f>
        <v>-4.47141401743612</v>
      </c>
      <c r="CC14" s="1">
        <f t="shared" si="55"/>
        <v>-4.4269555753927</v>
      </c>
      <c r="CD14" s="1">
        <f t="shared" si="55"/>
        <v>-4.05581663633589</v>
      </c>
      <c r="CE14" s="1">
        <f t="shared" si="55"/>
        <v>-5.0828332801219</v>
      </c>
      <c r="CF14" s="1">
        <f t="shared" si="55"/>
        <v>-5.49237939815298</v>
      </c>
      <c r="CG14" s="1">
        <f t="shared" si="55"/>
        <v>-4.25008010429069</v>
      </c>
      <c r="CH14" s="1">
        <f t="shared" si="55"/>
        <v>-7.52773191768574</v>
      </c>
      <c r="CI14" s="1">
        <f t="shared" si="55"/>
        <v>-4.94158453716458</v>
      </c>
      <c r="CJ14" s="1">
        <f t="shared" si="55"/>
        <v>-5.4216318360586</v>
      </c>
      <c r="CK14" s="1">
        <f t="shared" si="55"/>
        <v>-4.35494947490097</v>
      </c>
      <c r="CL14" s="1">
        <f t="shared" si="55"/>
        <v>-4.16336943493269</v>
      </c>
      <c r="CM14" s="1">
        <f t="shared" si="55"/>
        <v>-4.57259401555348</v>
      </c>
      <c r="CN14" s="1">
        <f t="shared" si="55"/>
        <v>-4.67590307740004</v>
      </c>
      <c r="CO14" s="1">
        <f t="shared" si="55"/>
        <v>-6.52613518430229</v>
      </c>
      <c r="CP14" s="1">
        <f t="shared" si="55"/>
        <v>-7.66397438851754</v>
      </c>
      <c r="CQ14" s="1">
        <f t="shared" si="55"/>
        <v>-4.88593385009844</v>
      </c>
      <c r="CR14" s="1">
        <f t="shared" si="55"/>
        <v>-6.19682039632188</v>
      </c>
      <c r="CS14" s="1">
        <f t="shared" si="55"/>
        <v>-5.48781563551354</v>
      </c>
      <c r="CT14" s="1">
        <f t="shared" si="55"/>
        <v>-4.15802199026853</v>
      </c>
      <c r="CU14" s="1">
        <f t="shared" si="55"/>
        <v>-5.80076645560505</v>
      </c>
      <c r="CV14" s="1">
        <f t="shared" si="55"/>
        <v>-6.1164106218552</v>
      </c>
    </row>
    <row r="15" spans="1:100">
      <c r="A15" s="1" t="s">
        <v>27</v>
      </c>
      <c r="B15" s="1">
        <v>2023</v>
      </c>
      <c r="C15" s="1">
        <v>2108.96</v>
      </c>
      <c r="D15" s="1">
        <v>86371</v>
      </c>
      <c r="E15" s="1">
        <v>6.8</v>
      </c>
      <c r="F15" s="1">
        <v>45.22</v>
      </c>
      <c r="G15" s="1">
        <v>48.05</v>
      </c>
      <c r="H15" s="1">
        <v>169.38</v>
      </c>
      <c r="I15" s="1">
        <f t="shared" si="38"/>
        <v>6943</v>
      </c>
      <c r="J15" s="1">
        <v>0.24</v>
      </c>
      <c r="K15" s="1">
        <v>68.51</v>
      </c>
      <c r="L15" s="3">
        <v>1151.3</v>
      </c>
      <c r="M15" s="1">
        <f t="shared" si="0"/>
        <v>47194</v>
      </c>
      <c r="N15" s="1">
        <v>46794</v>
      </c>
      <c r="O15" s="1">
        <v>21757</v>
      </c>
      <c r="P15" s="1">
        <v>110886</v>
      </c>
      <c r="Q15" s="1">
        <v>108.47</v>
      </c>
      <c r="R15" s="1">
        <v>3.63</v>
      </c>
      <c r="S15" s="3">
        <v>145.6</v>
      </c>
      <c r="T15" s="1">
        <v>2328</v>
      </c>
      <c r="U15" s="1">
        <v>243.95</v>
      </c>
      <c r="V15" s="1">
        <v>68.24</v>
      </c>
      <c r="W15" s="1">
        <v>6.51</v>
      </c>
      <c r="X15" s="1">
        <v>2.64</v>
      </c>
      <c r="AA15" s="1">
        <f t="shared" si="6"/>
        <v>0.0346</v>
      </c>
      <c r="AB15" s="1">
        <f t="shared" si="7"/>
        <v>0.4295</v>
      </c>
      <c r="AC15" s="1">
        <f t="shared" si="8"/>
        <v>0.6241</v>
      </c>
      <c r="AD15" s="1">
        <f t="shared" si="9"/>
        <v>0.8698</v>
      </c>
      <c r="AE15" s="1">
        <f t="shared" si="10"/>
        <v>0.2741</v>
      </c>
      <c r="AF15" s="1">
        <f t="shared" si="11"/>
        <v>0.0421</v>
      </c>
      <c r="AG15" s="1">
        <f t="shared" si="12"/>
        <v>0.5269</v>
      </c>
      <c r="AH15" s="1">
        <f t="shared" si="13"/>
        <v>0.0019</v>
      </c>
      <c r="AI15" s="1">
        <f t="shared" si="14"/>
        <v>0.0691</v>
      </c>
      <c r="AJ15" s="1">
        <f t="shared" si="15"/>
        <v>0.0418</v>
      </c>
      <c r="AK15" s="1">
        <f t="shared" si="16"/>
        <v>0.7452</v>
      </c>
      <c r="AL15" s="1">
        <f t="shared" si="17"/>
        <v>0.4801</v>
      </c>
      <c r="AM15" s="1">
        <f t="shared" si="18"/>
        <v>0.4676</v>
      </c>
      <c r="AN15" s="1">
        <f t="shared" si="19"/>
        <v>0.2553</v>
      </c>
      <c r="AO15" s="1">
        <f t="shared" si="20"/>
        <v>0.0118</v>
      </c>
      <c r="AP15" s="1">
        <f t="shared" si="21"/>
        <v>0.0032</v>
      </c>
      <c r="AQ15" s="1">
        <f t="shared" si="22"/>
        <v>0.031</v>
      </c>
      <c r="AR15" s="1">
        <f t="shared" si="23"/>
        <v>0.0252</v>
      </c>
      <c r="AS15" s="1">
        <f t="shared" si="24"/>
        <v>0.0408</v>
      </c>
      <c r="AT15" s="1">
        <f t="shared" si="25"/>
        <v>0.597</v>
      </c>
      <c r="AU15" s="1">
        <f t="shared" si="26"/>
        <v>0.0302</v>
      </c>
      <c r="AV15" s="1">
        <f t="shared" si="27"/>
        <v>0.0047</v>
      </c>
      <c r="AW15" s="4">
        <f t="shared" si="28"/>
        <v>0.0648</v>
      </c>
      <c r="BA15" s="1">
        <f t="shared" si="39"/>
        <v>0.00396339018774556</v>
      </c>
      <c r="BB15" s="1">
        <f t="shared" si="2"/>
        <v>0.012069013965774</v>
      </c>
      <c r="BC15" s="1">
        <f t="shared" si="3"/>
        <v>0.0128839269862635</v>
      </c>
      <c r="BD15" s="1">
        <f t="shared" ref="BD15:BV15" si="56">AD15/SUM(AD$2:AD$91)</f>
        <v>0.015718405967862</v>
      </c>
      <c r="BE15" s="1">
        <f t="shared" si="56"/>
        <v>0.00934095331568061</v>
      </c>
      <c r="BF15" s="1">
        <f t="shared" si="56"/>
        <v>0.00512926728234119</v>
      </c>
      <c r="BG15" s="1">
        <f t="shared" si="56"/>
        <v>0.0186667233505865</v>
      </c>
      <c r="BH15" s="1">
        <f t="shared" si="56"/>
        <v>0.000393122426599904</v>
      </c>
      <c r="BI15" s="1">
        <f t="shared" si="56"/>
        <v>0.008</v>
      </c>
      <c r="BJ15" s="1">
        <f t="shared" si="56"/>
        <v>0.00487474926528899</v>
      </c>
      <c r="BK15" s="1">
        <f t="shared" si="56"/>
        <v>0.0142632928836657</v>
      </c>
      <c r="BL15" s="1">
        <f t="shared" si="56"/>
        <v>0.0182279307634773</v>
      </c>
      <c r="BM15" s="1">
        <f t="shared" si="56"/>
        <v>0.0122641138286014</v>
      </c>
      <c r="BN15" s="1">
        <f t="shared" si="56"/>
        <v>0.0110841448536658</v>
      </c>
      <c r="BO15" s="1">
        <f t="shared" si="56"/>
        <v>0.00151604697176041</v>
      </c>
      <c r="BP15" s="1">
        <f t="shared" si="56"/>
        <v>0.000518000518000518</v>
      </c>
      <c r="BQ15" s="1">
        <f t="shared" si="56"/>
        <v>0.00914508230574075</v>
      </c>
      <c r="BR15" s="1">
        <f t="shared" si="56"/>
        <v>0.00278828918542123</v>
      </c>
      <c r="BS15" s="1">
        <f t="shared" si="56"/>
        <v>0.00412675614714718</v>
      </c>
      <c r="BT15" s="1">
        <f t="shared" si="56"/>
        <v>0.0164311172884528</v>
      </c>
      <c r="BU15" s="1">
        <f t="shared" si="56"/>
        <v>0.00321697540398607</v>
      </c>
      <c r="BV15" s="1">
        <f t="shared" si="56"/>
        <v>0.000624692637930805</v>
      </c>
      <c r="CA15" s="1">
        <f t="shared" si="30"/>
        <v>-5.53065551195064</v>
      </c>
      <c r="CB15" s="1">
        <f t="shared" ref="CB15:CV15" si="57">IF(BB15=0,0,LN(BB15))</f>
        <v>-4.41711394018622</v>
      </c>
      <c r="CC15" s="1">
        <f t="shared" si="57"/>
        <v>-4.35177471453767</v>
      </c>
      <c r="CD15" s="1">
        <f t="shared" si="57"/>
        <v>-4.15292289865805</v>
      </c>
      <c r="CE15" s="1">
        <f t="shared" si="57"/>
        <v>-4.67334696388995</v>
      </c>
      <c r="CF15" s="1">
        <f t="shared" si="57"/>
        <v>-5.27279245995361</v>
      </c>
      <c r="CG15" s="1">
        <f t="shared" si="57"/>
        <v>-3.98101284028115</v>
      </c>
      <c r="CH15" s="1">
        <f t="shared" si="57"/>
        <v>-7.84138947654078</v>
      </c>
      <c r="CI15" s="1">
        <f t="shared" si="57"/>
        <v>-4.8283137373023</v>
      </c>
      <c r="CJ15" s="1">
        <f t="shared" si="57"/>
        <v>-5.32368660861627</v>
      </c>
      <c r="CK15" s="1">
        <f t="shared" si="57"/>
        <v>-4.25006597314522</v>
      </c>
      <c r="CL15" s="1">
        <f t="shared" si="57"/>
        <v>-4.00480020394863</v>
      </c>
      <c r="CM15" s="1">
        <f t="shared" si="57"/>
        <v>-4.40107785593243</v>
      </c>
      <c r="CN15" s="1">
        <f t="shared" si="57"/>
        <v>-4.5022395833492</v>
      </c>
      <c r="CO15" s="1">
        <f t="shared" si="57"/>
        <v>-6.49164900823112</v>
      </c>
      <c r="CP15" s="1">
        <f t="shared" si="57"/>
        <v>-7.56553431570429</v>
      </c>
      <c r="CQ15" s="1">
        <f t="shared" si="57"/>
        <v>-4.69453899709881</v>
      </c>
      <c r="CR15" s="1">
        <f t="shared" si="57"/>
        <v>-5.88232706641945</v>
      </c>
      <c r="CS15" s="1">
        <f t="shared" si="57"/>
        <v>-5.49026361715218</v>
      </c>
      <c r="CT15" s="1">
        <f t="shared" si="57"/>
        <v>-4.10857834629601</v>
      </c>
      <c r="CU15" s="1">
        <f t="shared" si="57"/>
        <v>-5.73931367639138</v>
      </c>
      <c r="CV15" s="1">
        <f t="shared" si="57"/>
        <v>-7.37825080850169</v>
      </c>
    </row>
    <row r="16" spans="1:100">
      <c r="A16" s="1" t="s">
        <v>27</v>
      </c>
      <c r="B16" s="1">
        <v>2024</v>
      </c>
      <c r="C16" s="1">
        <v>2305.81</v>
      </c>
      <c r="D16" s="1">
        <v>94683</v>
      </c>
      <c r="E16" s="1">
        <v>7.1</v>
      </c>
      <c r="F16" s="1">
        <v>46.48</v>
      </c>
      <c r="G16" s="1">
        <v>46.93</v>
      </c>
      <c r="H16" s="1">
        <v>190.03</v>
      </c>
      <c r="I16" s="1">
        <f t="shared" si="38"/>
        <v>7803</v>
      </c>
      <c r="J16" s="3">
        <v>0.4</v>
      </c>
      <c r="K16" s="1">
        <v>85.18</v>
      </c>
      <c r="L16" s="1">
        <v>1209.72</v>
      </c>
      <c r="M16" s="1">
        <f t="shared" si="0"/>
        <v>49674</v>
      </c>
      <c r="N16" s="1">
        <v>49007</v>
      </c>
      <c r="O16" s="1">
        <v>23043</v>
      </c>
      <c r="P16" s="1">
        <v>119511</v>
      </c>
      <c r="Q16" s="1">
        <v>117.51</v>
      </c>
      <c r="R16" s="1">
        <v>3.25</v>
      </c>
      <c r="S16" s="1">
        <v>176.18</v>
      </c>
      <c r="T16" s="1">
        <v>2917</v>
      </c>
      <c r="U16" s="1">
        <v>243.53</v>
      </c>
      <c r="V16" s="1">
        <v>69.14</v>
      </c>
      <c r="W16" s="1">
        <v>6.92</v>
      </c>
      <c r="X16" s="1">
        <v>2.99</v>
      </c>
      <c r="AA16" s="1">
        <f t="shared" si="6"/>
        <v>0.0379</v>
      </c>
      <c r="AB16" s="1">
        <f t="shared" si="7"/>
        <v>0.496</v>
      </c>
      <c r="AC16" s="1">
        <f t="shared" si="8"/>
        <v>0.6353</v>
      </c>
      <c r="AD16" s="1">
        <f t="shared" si="9"/>
        <v>0.9182</v>
      </c>
      <c r="AE16" s="1">
        <f t="shared" si="10"/>
        <v>0.2325</v>
      </c>
      <c r="AF16" s="1">
        <f t="shared" si="11"/>
        <v>0.0473</v>
      </c>
      <c r="AG16" s="1">
        <f t="shared" si="12"/>
        <v>0.6062</v>
      </c>
      <c r="AH16" s="1">
        <f t="shared" si="13"/>
        <v>0.0032</v>
      </c>
      <c r="AI16" s="1">
        <f t="shared" si="14"/>
        <v>0.0859</v>
      </c>
      <c r="AJ16" s="1">
        <f t="shared" si="15"/>
        <v>0.0439</v>
      </c>
      <c r="AK16" s="1">
        <f t="shared" si="16"/>
        <v>0.7865</v>
      </c>
      <c r="AL16" s="1">
        <f t="shared" si="17"/>
        <v>0.5456</v>
      </c>
      <c r="AM16" s="1">
        <f t="shared" si="18"/>
        <v>0.5258</v>
      </c>
      <c r="AN16" s="1">
        <f t="shared" si="19"/>
        <v>0.2904</v>
      </c>
      <c r="AO16" s="1">
        <f t="shared" si="20"/>
        <v>0.0128</v>
      </c>
      <c r="AP16" s="1">
        <f t="shared" si="21"/>
        <v>0.0028</v>
      </c>
      <c r="AQ16" s="1">
        <f t="shared" si="22"/>
        <v>0.0375</v>
      </c>
      <c r="AR16" s="1">
        <f t="shared" si="23"/>
        <v>0.0319</v>
      </c>
      <c r="AS16" s="1">
        <f t="shared" si="24"/>
        <v>0.0407</v>
      </c>
      <c r="AT16" s="1">
        <f t="shared" si="25"/>
        <v>0.6187</v>
      </c>
      <c r="AU16" s="1">
        <f t="shared" si="26"/>
        <v>0.0321</v>
      </c>
      <c r="AV16" s="1">
        <f t="shared" si="27"/>
        <v>0.0055</v>
      </c>
      <c r="AW16" s="4">
        <f t="shared" si="28"/>
        <v>0.0714</v>
      </c>
      <c r="BA16" s="1">
        <f t="shared" si="39"/>
        <v>0.00434140139062303</v>
      </c>
      <c r="BB16" s="1">
        <f t="shared" si="2"/>
        <v>0.0139376738696715</v>
      </c>
      <c r="BC16" s="1">
        <f t="shared" si="3"/>
        <v>0.0131151399044595</v>
      </c>
      <c r="BD16" s="1">
        <f t="shared" ref="BD16:BV16" si="58">AD16/SUM(AD$2:AD$91)</f>
        <v>0.0165930562884467</v>
      </c>
      <c r="BE16" s="1">
        <f t="shared" si="58"/>
        <v>0.00792328218130515</v>
      </c>
      <c r="BF16" s="1">
        <f t="shared" si="58"/>
        <v>0.00576281098467312</v>
      </c>
      <c r="BG16" s="1">
        <f t="shared" si="58"/>
        <v>0.0214761201273971</v>
      </c>
      <c r="BH16" s="1">
        <f t="shared" si="58"/>
        <v>0.000662100929010365</v>
      </c>
      <c r="BI16" s="1">
        <f t="shared" si="58"/>
        <v>0.00994500723589002</v>
      </c>
      <c r="BJ16" s="1">
        <f t="shared" si="58"/>
        <v>0.00511965293651164</v>
      </c>
      <c r="BK16" s="1">
        <f t="shared" si="58"/>
        <v>0.0150537840217433</v>
      </c>
      <c r="BL16" s="1">
        <f t="shared" si="58"/>
        <v>0.0207147657249599</v>
      </c>
      <c r="BM16" s="1">
        <f t="shared" si="58"/>
        <v>0.0137905711100911</v>
      </c>
      <c r="BN16" s="1">
        <f t="shared" si="58"/>
        <v>0.0126080519604566</v>
      </c>
      <c r="BO16" s="1">
        <f t="shared" si="58"/>
        <v>0.00164452552868926</v>
      </c>
      <c r="BP16" s="1">
        <f t="shared" si="58"/>
        <v>0.000453250453250453</v>
      </c>
      <c r="BQ16" s="1">
        <f t="shared" si="58"/>
        <v>0.0110625995633961</v>
      </c>
      <c r="BR16" s="1">
        <f t="shared" si="58"/>
        <v>0.00352962004027529</v>
      </c>
      <c r="BS16" s="1">
        <f t="shared" si="58"/>
        <v>0.00411664154874731</v>
      </c>
      <c r="BT16" s="1">
        <f t="shared" si="58"/>
        <v>0.017028362255219</v>
      </c>
      <c r="BU16" s="1">
        <f t="shared" si="58"/>
        <v>0.00341936789628983</v>
      </c>
      <c r="BV16" s="1">
        <f t="shared" si="58"/>
        <v>0.000731023299706262</v>
      </c>
      <c r="CA16" s="1">
        <f t="shared" si="30"/>
        <v>-5.43955808192594</v>
      </c>
      <c r="CB16" s="1">
        <f t="shared" ref="CB16:CV16" si="59">IF(BB16=0,0,LN(BB16))</f>
        <v>-4.2731597548856</v>
      </c>
      <c r="CC16" s="1">
        <f t="shared" si="59"/>
        <v>-4.33398799820518</v>
      </c>
      <c r="CD16" s="1">
        <f t="shared" si="59"/>
        <v>-4.09877096700647</v>
      </c>
      <c r="CE16" s="1">
        <f t="shared" si="59"/>
        <v>-4.83794974217128</v>
      </c>
      <c r="CF16" s="1">
        <f t="shared" si="59"/>
        <v>-5.15632990514406</v>
      </c>
      <c r="CG16" s="1">
        <f t="shared" si="59"/>
        <v>-3.84081365287268</v>
      </c>
      <c r="CH16" s="1">
        <f t="shared" si="59"/>
        <v>-7.32009255290749</v>
      </c>
      <c r="CI16" s="1">
        <f t="shared" si="59"/>
        <v>-4.61068463908572</v>
      </c>
      <c r="CJ16" s="1">
        <f t="shared" si="59"/>
        <v>-5.27466862806585</v>
      </c>
      <c r="CK16" s="1">
        <f t="shared" si="59"/>
        <v>-4.19612588937432</v>
      </c>
      <c r="CL16" s="1">
        <f t="shared" si="59"/>
        <v>-3.87690851295627</v>
      </c>
      <c r="CM16" s="1">
        <f t="shared" si="59"/>
        <v>-4.28377017323456</v>
      </c>
      <c r="CN16" s="1">
        <f t="shared" si="59"/>
        <v>-4.373419624646</v>
      </c>
      <c r="CO16" s="1">
        <f t="shared" si="59"/>
        <v>-6.41030336877717</v>
      </c>
      <c r="CP16" s="1">
        <f t="shared" si="59"/>
        <v>-7.69906570832881</v>
      </c>
      <c r="CQ16" s="1">
        <f t="shared" si="59"/>
        <v>-4.50418526860759</v>
      </c>
      <c r="CR16" s="1">
        <f t="shared" si="59"/>
        <v>-5.64656505114603</v>
      </c>
      <c r="CS16" s="1">
        <f t="shared" si="59"/>
        <v>-5.49271760611375</v>
      </c>
      <c r="CT16" s="1">
        <f t="shared" si="59"/>
        <v>-4.07287495715167</v>
      </c>
      <c r="CU16" s="1">
        <f t="shared" si="59"/>
        <v>-5.67829957063624</v>
      </c>
      <c r="CV16" s="1">
        <f t="shared" si="59"/>
        <v>-7.22106522497928</v>
      </c>
    </row>
    <row r="17" spans="1:100">
      <c r="A17" s="1" t="s">
        <v>28</v>
      </c>
      <c r="B17" s="1">
        <v>2020</v>
      </c>
      <c r="C17" s="1">
        <v>1915.07</v>
      </c>
      <c r="D17" s="1">
        <v>57971</v>
      </c>
      <c r="E17" s="1">
        <v>-4.9</v>
      </c>
      <c r="F17" s="1">
        <v>41.42</v>
      </c>
      <c r="G17" s="1">
        <v>48.65</v>
      </c>
      <c r="H17" s="1">
        <v>89.36</v>
      </c>
      <c r="I17" s="1">
        <f t="shared" si="38"/>
        <v>2785</v>
      </c>
      <c r="J17" s="1">
        <v>0.72</v>
      </c>
      <c r="K17" s="1">
        <v>7.73</v>
      </c>
      <c r="L17" s="1">
        <v>991.57</v>
      </c>
      <c r="M17" s="1">
        <f t="shared" si="0"/>
        <v>30900</v>
      </c>
      <c r="N17" s="1">
        <v>32771</v>
      </c>
      <c r="O17" s="1">
        <v>11731</v>
      </c>
      <c r="P17" s="1">
        <v>87567</v>
      </c>
      <c r="Q17" s="1">
        <v>114.57</v>
      </c>
      <c r="R17" s="1">
        <v>4.66</v>
      </c>
      <c r="S17" s="1">
        <v>25.02</v>
      </c>
      <c r="T17" s="1">
        <v>8002</v>
      </c>
      <c r="U17" s="3">
        <v>320.9</v>
      </c>
      <c r="V17" s="1">
        <v>61.94</v>
      </c>
      <c r="W17" s="1">
        <v>5.63</v>
      </c>
      <c r="X17" s="1">
        <v>6.63</v>
      </c>
      <c r="AA17" s="1">
        <f t="shared" si="6"/>
        <v>0.0314</v>
      </c>
      <c r="AB17" s="1">
        <f t="shared" si="7"/>
        <v>0.2024</v>
      </c>
      <c r="AC17" s="1">
        <f t="shared" si="8"/>
        <v>0.1842</v>
      </c>
      <c r="AD17" s="1">
        <f t="shared" si="9"/>
        <v>0.7239</v>
      </c>
      <c r="AE17" s="1">
        <f t="shared" si="10"/>
        <v>0.2964</v>
      </c>
      <c r="AF17" s="1">
        <f t="shared" si="11"/>
        <v>0.0217</v>
      </c>
      <c r="AG17" s="1">
        <f t="shared" si="12"/>
        <v>0.1436</v>
      </c>
      <c r="AH17" s="1">
        <f t="shared" si="13"/>
        <v>0.0058</v>
      </c>
      <c r="AI17" s="1">
        <f t="shared" si="14"/>
        <v>0.0078</v>
      </c>
      <c r="AJ17" s="1">
        <f t="shared" si="15"/>
        <v>0.0359</v>
      </c>
      <c r="AK17" s="1">
        <f t="shared" si="16"/>
        <v>0.4737</v>
      </c>
      <c r="AL17" s="1">
        <f t="shared" si="17"/>
        <v>0.0647</v>
      </c>
      <c r="AM17" s="1">
        <f t="shared" si="18"/>
        <v>0.0142</v>
      </c>
      <c r="AN17" s="1">
        <f t="shared" si="19"/>
        <v>0.1605</v>
      </c>
      <c r="AO17" s="1">
        <f t="shared" si="20"/>
        <v>0.0125</v>
      </c>
      <c r="AP17" s="1">
        <f t="shared" si="21"/>
        <v>0.0041</v>
      </c>
      <c r="AQ17" s="1">
        <f t="shared" si="22"/>
        <v>0.0052</v>
      </c>
      <c r="AR17" s="1">
        <f t="shared" si="23"/>
        <v>0.0903</v>
      </c>
      <c r="AS17" s="1">
        <f t="shared" si="24"/>
        <v>0.054</v>
      </c>
      <c r="AT17" s="1">
        <f t="shared" si="25"/>
        <v>0.4455</v>
      </c>
      <c r="AU17" s="1">
        <f t="shared" si="26"/>
        <v>0.0261</v>
      </c>
      <c r="AV17" s="1">
        <f t="shared" si="27"/>
        <v>0.0139</v>
      </c>
      <c r="AW17" s="4">
        <f t="shared" si="28"/>
        <v>0.0396</v>
      </c>
      <c r="BA17" s="1">
        <f t="shared" si="39"/>
        <v>0.00359683386980378</v>
      </c>
      <c r="BB17" s="1">
        <f t="shared" si="2"/>
        <v>0.00568747014359176</v>
      </c>
      <c r="BC17" s="1">
        <f t="shared" si="3"/>
        <v>0.00380262674390279</v>
      </c>
      <c r="BD17" s="1">
        <f t="shared" ref="BD17:BV17" si="60">AD17/SUM(AD$2:AD$91)</f>
        <v>0.0130818051047773</v>
      </c>
      <c r="BE17" s="1">
        <f t="shared" si="60"/>
        <v>0.0101009068324251</v>
      </c>
      <c r="BF17" s="1">
        <f t="shared" si="60"/>
        <v>0.00264382660396208</v>
      </c>
      <c r="BG17" s="1">
        <f t="shared" si="60"/>
        <v>0.00508738180517028</v>
      </c>
      <c r="BH17" s="1">
        <f t="shared" si="60"/>
        <v>0.00120005793383129</v>
      </c>
      <c r="BI17" s="1">
        <f t="shared" si="60"/>
        <v>0.000903039073806078</v>
      </c>
      <c r="BJ17" s="1">
        <f t="shared" si="60"/>
        <v>0.00418668656994916</v>
      </c>
      <c r="BK17" s="1">
        <f t="shared" si="60"/>
        <v>0.0090667228113157</v>
      </c>
      <c r="BL17" s="1">
        <f t="shared" si="60"/>
        <v>0.00245646140470107</v>
      </c>
      <c r="BM17" s="1">
        <f t="shared" si="60"/>
        <v>0.000372434594452823</v>
      </c>
      <c r="BN17" s="1">
        <f t="shared" si="60"/>
        <v>0.00696829318062424</v>
      </c>
      <c r="BO17" s="1">
        <f t="shared" si="60"/>
        <v>0.00160598196161061</v>
      </c>
      <c r="BP17" s="1">
        <f t="shared" si="60"/>
        <v>0.000663688163688164</v>
      </c>
      <c r="BQ17" s="1">
        <f t="shared" si="60"/>
        <v>0.00153401380612425</v>
      </c>
      <c r="BR17" s="1">
        <f t="shared" si="60"/>
        <v>0.00999136958109274</v>
      </c>
      <c r="BS17" s="1">
        <f t="shared" si="60"/>
        <v>0.00546188313593009</v>
      </c>
      <c r="BT17" s="1">
        <f t="shared" si="60"/>
        <v>0.0122614116449007</v>
      </c>
      <c r="BU17" s="1">
        <f t="shared" si="60"/>
        <v>0.00278023371006743</v>
      </c>
      <c r="BV17" s="1">
        <f t="shared" si="60"/>
        <v>0.00184749524834855</v>
      </c>
      <c r="CA17" s="1">
        <f t="shared" si="30"/>
        <v>-5.62770130110011</v>
      </c>
      <c r="CB17" s="1">
        <f t="shared" ref="CB17:CV17" si="61">IF(BB17=0,0,LN(BB17))</f>
        <v>-5.16948974419722</v>
      </c>
      <c r="CC17" s="1">
        <f t="shared" si="61"/>
        <v>-5.57206320265646</v>
      </c>
      <c r="CD17" s="1">
        <f t="shared" si="61"/>
        <v>-4.3365329375225</v>
      </c>
      <c r="CE17" s="1">
        <f t="shared" si="61"/>
        <v>-4.59513007377676</v>
      </c>
      <c r="CF17" s="1">
        <f t="shared" si="61"/>
        <v>-5.93552794009554</v>
      </c>
      <c r="CG17" s="1">
        <f t="shared" si="61"/>
        <v>-5.28099196088226</v>
      </c>
      <c r="CH17" s="1">
        <f t="shared" si="61"/>
        <v>-6.7253854451608</v>
      </c>
      <c r="CI17" s="1">
        <f t="shared" si="61"/>
        <v>-7.00974473438038</v>
      </c>
      <c r="CJ17" s="1">
        <f t="shared" si="61"/>
        <v>-5.47584565265275</v>
      </c>
      <c r="CK17" s="1">
        <f t="shared" si="61"/>
        <v>-4.70314440194294</v>
      </c>
      <c r="CL17" s="1">
        <f t="shared" si="61"/>
        <v>-6.00903341797867</v>
      </c>
      <c r="CM17" s="1">
        <f t="shared" si="61"/>
        <v>-7.89544912092312</v>
      </c>
      <c r="CN17" s="1">
        <f t="shared" si="61"/>
        <v>-4.96638496502657</v>
      </c>
      <c r="CO17" s="1">
        <f t="shared" si="61"/>
        <v>-6.43401989539449</v>
      </c>
      <c r="CP17" s="1">
        <f t="shared" si="61"/>
        <v>-7.31769815179971</v>
      </c>
      <c r="CQ17" s="1">
        <f t="shared" si="61"/>
        <v>-6.47986757599657</v>
      </c>
      <c r="CR17" s="1">
        <f t="shared" si="61"/>
        <v>-4.60603360051388</v>
      </c>
      <c r="CS17" s="1">
        <f t="shared" si="61"/>
        <v>-5.20996165199802</v>
      </c>
      <c r="CT17" s="1">
        <f t="shared" si="61"/>
        <v>-4.40129821277775</v>
      </c>
      <c r="CU17" s="1">
        <f t="shared" si="61"/>
        <v>-5.88522028644356</v>
      </c>
      <c r="CV17" s="1">
        <f t="shared" si="61"/>
        <v>-6.29392447708106</v>
      </c>
    </row>
    <row r="18" spans="1:100">
      <c r="A18" s="1" t="s">
        <v>28</v>
      </c>
      <c r="B18" s="1">
        <v>2021</v>
      </c>
      <c r="C18" s="1">
        <v>2163.98</v>
      </c>
      <c r="D18" s="1">
        <v>67973</v>
      </c>
      <c r="E18" s="1">
        <v>11.5</v>
      </c>
      <c r="F18" s="1">
        <v>38.75</v>
      </c>
      <c r="G18" s="1">
        <v>51.62</v>
      </c>
      <c r="H18" s="1">
        <v>115.62</v>
      </c>
      <c r="I18" s="1">
        <f t="shared" si="38"/>
        <v>3661</v>
      </c>
      <c r="J18" s="1">
        <v>1.02</v>
      </c>
      <c r="K18" s="1">
        <v>17.22</v>
      </c>
      <c r="L18" s="1">
        <v>1298.39</v>
      </c>
      <c r="M18" s="1">
        <f t="shared" si="0"/>
        <v>41112</v>
      </c>
      <c r="N18" s="1">
        <v>35753</v>
      </c>
      <c r="O18" s="1">
        <v>13115</v>
      </c>
      <c r="P18" s="1">
        <v>94115</v>
      </c>
      <c r="Q18" s="1">
        <v>46.59</v>
      </c>
      <c r="R18" s="1">
        <v>7.56</v>
      </c>
      <c r="S18" s="3">
        <v>32.1</v>
      </c>
      <c r="T18" s="1">
        <v>8681</v>
      </c>
      <c r="U18" s="1">
        <v>315.82</v>
      </c>
      <c r="V18" s="1">
        <v>62.04</v>
      </c>
      <c r="W18" s="1">
        <v>6.15</v>
      </c>
      <c r="X18" s="1">
        <v>7.56</v>
      </c>
      <c r="AA18" s="1">
        <f t="shared" si="6"/>
        <v>0.0356</v>
      </c>
      <c r="AB18" s="1">
        <f t="shared" si="7"/>
        <v>0.2824</v>
      </c>
      <c r="AC18" s="1">
        <f t="shared" si="8"/>
        <v>0.8008</v>
      </c>
      <c r="AD18" s="1">
        <f t="shared" si="9"/>
        <v>0.6214</v>
      </c>
      <c r="AE18" s="1">
        <f t="shared" si="10"/>
        <v>0.4068</v>
      </c>
      <c r="AF18" s="1">
        <f t="shared" si="11"/>
        <v>0.0284</v>
      </c>
      <c r="AG18" s="1">
        <f t="shared" si="12"/>
        <v>0.2243</v>
      </c>
      <c r="AH18" s="1">
        <f t="shared" si="13"/>
        <v>0.0082</v>
      </c>
      <c r="AI18" s="1">
        <f t="shared" si="14"/>
        <v>0.0174</v>
      </c>
      <c r="AJ18" s="1">
        <f t="shared" si="15"/>
        <v>0.0472</v>
      </c>
      <c r="AK18" s="1">
        <f t="shared" si="16"/>
        <v>0.6438</v>
      </c>
      <c r="AL18" s="1">
        <f t="shared" si="17"/>
        <v>0.153</v>
      </c>
      <c r="AM18" s="1">
        <f t="shared" si="18"/>
        <v>0.0768</v>
      </c>
      <c r="AN18" s="1">
        <f t="shared" si="19"/>
        <v>0.1871</v>
      </c>
      <c r="AO18" s="1">
        <f t="shared" si="20"/>
        <v>0.005</v>
      </c>
      <c r="AP18" s="1">
        <f t="shared" si="21"/>
        <v>0.0067</v>
      </c>
      <c r="AQ18" s="1">
        <f t="shared" si="22"/>
        <v>0.0067</v>
      </c>
      <c r="AR18" s="1">
        <f t="shared" si="23"/>
        <v>0.0981</v>
      </c>
      <c r="AS18" s="1">
        <f t="shared" si="24"/>
        <v>0.0531</v>
      </c>
      <c r="AT18" s="1">
        <f t="shared" si="25"/>
        <v>0.4479</v>
      </c>
      <c r="AU18" s="1">
        <f t="shared" si="26"/>
        <v>0.0285</v>
      </c>
      <c r="AV18" s="1">
        <f t="shared" si="27"/>
        <v>0.016</v>
      </c>
      <c r="AW18" s="4">
        <f t="shared" si="28"/>
        <v>0.0511</v>
      </c>
      <c r="BA18" s="1">
        <f t="shared" si="39"/>
        <v>0.00407793903710237</v>
      </c>
      <c r="BB18" s="1">
        <f t="shared" si="2"/>
        <v>0.00793548205805491</v>
      </c>
      <c r="BC18" s="1">
        <f t="shared" si="3"/>
        <v>0.0165317236510171</v>
      </c>
      <c r="BD18" s="1">
        <f t="shared" ref="BD18:BV18" si="62">AD18/SUM(AD$2:AD$91)</f>
        <v>0.0112294981242003</v>
      </c>
      <c r="BE18" s="1">
        <f t="shared" si="62"/>
        <v>0.0138631879198062</v>
      </c>
      <c r="BF18" s="1">
        <f t="shared" si="62"/>
        <v>0.0034601232973513</v>
      </c>
      <c r="BG18" s="1">
        <f t="shared" si="62"/>
        <v>0.00794637701183631</v>
      </c>
      <c r="BH18" s="1">
        <f t="shared" si="62"/>
        <v>0.00169663363058906</v>
      </c>
      <c r="BI18" s="1">
        <f t="shared" si="62"/>
        <v>0.00201447178002894</v>
      </c>
      <c r="BJ18" s="1">
        <f t="shared" si="62"/>
        <v>0.00550450156271867</v>
      </c>
      <c r="BK18" s="1">
        <f t="shared" si="62"/>
        <v>0.0123224744478046</v>
      </c>
      <c r="BL18" s="1">
        <f t="shared" si="62"/>
        <v>0.00580894273445539</v>
      </c>
      <c r="BM18" s="1">
        <f t="shared" si="62"/>
        <v>0.00201429414464625</v>
      </c>
      <c r="BN18" s="1">
        <f t="shared" si="62"/>
        <v>0.00812316295386165</v>
      </c>
      <c r="BO18" s="1">
        <f t="shared" si="62"/>
        <v>0.000642392784644243</v>
      </c>
      <c r="BP18" s="1">
        <f t="shared" si="62"/>
        <v>0.00108456358456358</v>
      </c>
      <c r="BQ18" s="1">
        <f t="shared" si="62"/>
        <v>0.0019765177886601</v>
      </c>
      <c r="BR18" s="1">
        <f t="shared" si="62"/>
        <v>0.0108544114718184</v>
      </c>
      <c r="BS18" s="1">
        <f t="shared" si="62"/>
        <v>0.00537085175033125</v>
      </c>
      <c r="BT18" s="1">
        <f t="shared" si="62"/>
        <v>0.0123274663877689</v>
      </c>
      <c r="BU18" s="1">
        <f t="shared" si="62"/>
        <v>0.00303588738455639</v>
      </c>
      <c r="BV18" s="1">
        <f t="shared" si="62"/>
        <v>0.00212661323550912</v>
      </c>
      <c r="CA18" s="1">
        <f t="shared" si="30"/>
        <v>-5.50216355615633</v>
      </c>
      <c r="CB18" s="1">
        <f t="shared" ref="CB18:CV18" si="63">IF(BB18=0,0,LN(BB18))</f>
        <v>-4.83641117599144</v>
      </c>
      <c r="CC18" s="1">
        <f t="shared" si="63"/>
        <v>-4.10247409847665</v>
      </c>
      <c r="CD18" s="1">
        <f t="shared" si="63"/>
        <v>-4.48921120186265</v>
      </c>
      <c r="CE18" s="1">
        <f t="shared" si="63"/>
        <v>-4.27851830302429</v>
      </c>
      <c r="CF18" s="1">
        <f t="shared" si="63"/>
        <v>-5.66645105547479</v>
      </c>
      <c r="CG18" s="1">
        <f t="shared" si="63"/>
        <v>-4.83503917597022</v>
      </c>
      <c r="CH18" s="1">
        <f t="shared" si="63"/>
        <v>-6.37910920844296</v>
      </c>
      <c r="CI18" s="1">
        <f t="shared" si="63"/>
        <v>-6.20739826185544</v>
      </c>
      <c r="CJ18" s="1">
        <f t="shared" si="63"/>
        <v>-5.20218905555547</v>
      </c>
      <c r="CK18" s="1">
        <f t="shared" si="63"/>
        <v>-4.39633049300794</v>
      </c>
      <c r="CL18" s="1">
        <f t="shared" si="63"/>
        <v>-5.14835669809308</v>
      </c>
      <c r="CM18" s="1">
        <f t="shared" si="63"/>
        <v>-6.20748644537671</v>
      </c>
      <c r="CN18" s="1">
        <f t="shared" si="63"/>
        <v>-4.8130356743166</v>
      </c>
      <c r="CO18" s="1">
        <f t="shared" si="63"/>
        <v>-7.35031062726864</v>
      </c>
      <c r="CP18" s="1">
        <f t="shared" si="63"/>
        <v>-6.82657759911305</v>
      </c>
      <c r="CQ18" s="1">
        <f t="shared" si="63"/>
        <v>-6.22641867518703</v>
      </c>
      <c r="CR18" s="1">
        <f t="shared" si="63"/>
        <v>-4.52318369436551</v>
      </c>
      <c r="CS18" s="1">
        <f t="shared" si="63"/>
        <v>-5.2267687703144</v>
      </c>
      <c r="CT18" s="1">
        <f t="shared" si="63"/>
        <v>-4.39592546647536</v>
      </c>
      <c r="CU18" s="1">
        <f t="shared" si="63"/>
        <v>-5.7972515134976</v>
      </c>
      <c r="CV18" s="1">
        <f t="shared" si="63"/>
        <v>-6.15322459497792</v>
      </c>
    </row>
    <row r="19" spans="1:100">
      <c r="A19" s="1" t="s">
        <v>28</v>
      </c>
      <c r="B19" s="1">
        <v>2022</v>
      </c>
      <c r="C19" s="1">
        <v>2304.68</v>
      </c>
      <c r="D19" s="1">
        <v>72882</v>
      </c>
      <c r="E19" s="1">
        <v>3.6</v>
      </c>
      <c r="F19" s="1">
        <v>40.08</v>
      </c>
      <c r="G19" s="1">
        <v>50.16</v>
      </c>
      <c r="H19" s="1">
        <v>115.66</v>
      </c>
      <c r="I19" s="1">
        <f t="shared" si="38"/>
        <v>3653</v>
      </c>
      <c r="J19" s="1">
        <v>0.07</v>
      </c>
      <c r="K19" s="1">
        <v>23.95</v>
      </c>
      <c r="L19" s="1">
        <v>1357.43</v>
      </c>
      <c r="M19" s="1">
        <f t="shared" si="0"/>
        <v>42873</v>
      </c>
      <c r="N19" s="1">
        <v>37827</v>
      </c>
      <c r="O19" s="1">
        <v>14190</v>
      </c>
      <c r="P19" s="1">
        <v>102461</v>
      </c>
      <c r="Q19" s="1">
        <v>44.64</v>
      </c>
      <c r="R19" s="1">
        <v>5.11</v>
      </c>
      <c r="S19" s="1">
        <v>34.67</v>
      </c>
      <c r="T19" s="1">
        <v>1000</v>
      </c>
      <c r="U19" s="1">
        <v>316.62</v>
      </c>
      <c r="V19" s="1">
        <v>62.63</v>
      </c>
      <c r="W19" s="1">
        <v>7.17</v>
      </c>
      <c r="X19" s="1">
        <v>12.34</v>
      </c>
      <c r="AA19" s="1">
        <f t="shared" si="6"/>
        <v>0.0379</v>
      </c>
      <c r="AB19" s="1">
        <f t="shared" si="7"/>
        <v>0.3217</v>
      </c>
      <c r="AC19" s="1">
        <f t="shared" si="8"/>
        <v>0.5038</v>
      </c>
      <c r="AD19" s="1">
        <f t="shared" si="9"/>
        <v>0.6724</v>
      </c>
      <c r="AE19" s="1">
        <f t="shared" si="10"/>
        <v>0.3525</v>
      </c>
      <c r="AF19" s="1">
        <f t="shared" si="11"/>
        <v>0.0284</v>
      </c>
      <c r="AG19" s="1">
        <f t="shared" si="12"/>
        <v>0.2236</v>
      </c>
      <c r="AH19" s="1">
        <f t="shared" si="13"/>
        <v>0.0006</v>
      </c>
      <c r="AI19" s="1">
        <f t="shared" si="14"/>
        <v>0.0241</v>
      </c>
      <c r="AJ19" s="1">
        <f t="shared" si="15"/>
        <v>0.0494</v>
      </c>
      <c r="AK19" s="1">
        <f t="shared" si="16"/>
        <v>0.6732</v>
      </c>
      <c r="AL19" s="1">
        <f t="shared" si="17"/>
        <v>0.2145</v>
      </c>
      <c r="AM19" s="1">
        <f t="shared" si="18"/>
        <v>0.1254</v>
      </c>
      <c r="AN19" s="1">
        <f t="shared" si="19"/>
        <v>0.221</v>
      </c>
      <c r="AO19" s="1">
        <f t="shared" si="20"/>
        <v>0.0048</v>
      </c>
      <c r="AP19" s="1">
        <f t="shared" si="21"/>
        <v>0.0045</v>
      </c>
      <c r="AQ19" s="1">
        <f t="shared" si="22"/>
        <v>0.0073</v>
      </c>
      <c r="AR19" s="1">
        <f t="shared" si="23"/>
        <v>0.0099</v>
      </c>
      <c r="AS19" s="1">
        <f t="shared" si="24"/>
        <v>0.0532</v>
      </c>
      <c r="AT19" s="1">
        <f t="shared" si="25"/>
        <v>0.4621</v>
      </c>
      <c r="AU19" s="1">
        <f t="shared" si="26"/>
        <v>0.0332</v>
      </c>
      <c r="AV19" s="1">
        <f t="shared" si="27"/>
        <v>0.0271</v>
      </c>
      <c r="AW19" s="4">
        <f t="shared" si="28"/>
        <v>0.0475</v>
      </c>
      <c r="BA19" s="1">
        <f t="shared" si="39"/>
        <v>0.00434140139062303</v>
      </c>
      <c r="BB19" s="1">
        <f t="shared" si="2"/>
        <v>0.00903981791103493</v>
      </c>
      <c r="BC19" s="1">
        <f t="shared" si="3"/>
        <v>0.0104004525167113</v>
      </c>
      <c r="BD19" s="1">
        <f t="shared" ref="BD19:BV19" si="64">AD19/SUM(AD$2:AD$91)</f>
        <v>0.012151133792585</v>
      </c>
      <c r="BE19" s="1">
        <f t="shared" si="64"/>
        <v>0.0120127181458497</v>
      </c>
      <c r="BF19" s="1">
        <f t="shared" si="64"/>
        <v>0.0034601232973513</v>
      </c>
      <c r="BG19" s="1">
        <f t="shared" si="64"/>
        <v>0.0079215777969086</v>
      </c>
      <c r="BH19" s="1">
        <f t="shared" si="64"/>
        <v>0.000124143924189443</v>
      </c>
      <c r="BI19" s="1">
        <f t="shared" si="64"/>
        <v>0.00279015918958032</v>
      </c>
      <c r="BJ19" s="1">
        <f t="shared" si="64"/>
        <v>0.00576106731352335</v>
      </c>
      <c r="BK19" s="1">
        <f t="shared" si="64"/>
        <v>0.0128851969528768</v>
      </c>
      <c r="BL19" s="1">
        <f t="shared" si="64"/>
        <v>0.00814390991203059</v>
      </c>
      <c r="BM19" s="1">
        <f t="shared" si="64"/>
        <v>0.00328896465805521</v>
      </c>
      <c r="BN19" s="1">
        <f t="shared" si="64"/>
        <v>0.00959497067238602</v>
      </c>
      <c r="BO19" s="1">
        <f t="shared" si="64"/>
        <v>0.000616697073258473</v>
      </c>
      <c r="BP19" s="1">
        <f t="shared" si="64"/>
        <v>0.000728438228438228</v>
      </c>
      <c r="BQ19" s="1">
        <f t="shared" si="64"/>
        <v>0.00215351938167444</v>
      </c>
      <c r="BR19" s="1">
        <f t="shared" si="64"/>
        <v>0.00109539932284405</v>
      </c>
      <c r="BS19" s="1">
        <f t="shared" si="64"/>
        <v>0.00538096634873112</v>
      </c>
      <c r="BT19" s="1">
        <f t="shared" si="64"/>
        <v>0.0127182902830721</v>
      </c>
      <c r="BU19" s="1">
        <f t="shared" si="64"/>
        <v>0.00353654249709727</v>
      </c>
      <c r="BV19" s="1">
        <f t="shared" si="64"/>
        <v>0.00360195116764358</v>
      </c>
      <c r="CA19" s="1">
        <f t="shared" si="30"/>
        <v>-5.43955808192594</v>
      </c>
      <c r="CB19" s="1">
        <f t="shared" ref="CB19:CV19" si="65">IF(BB19=0,0,LN(BB19))</f>
        <v>-4.70611624736555</v>
      </c>
      <c r="CC19" s="1">
        <f t="shared" si="65"/>
        <v>-4.56590596255915</v>
      </c>
      <c r="CD19" s="1">
        <f t="shared" si="65"/>
        <v>-4.41033279728713</v>
      </c>
      <c r="CE19" s="1">
        <f t="shared" si="65"/>
        <v>-4.42178934494637</v>
      </c>
      <c r="CF19" s="1">
        <f t="shared" si="65"/>
        <v>-5.66645105547479</v>
      </c>
      <c r="CG19" s="1">
        <f t="shared" si="65"/>
        <v>-4.83816487621544</v>
      </c>
      <c r="CH19" s="1">
        <f t="shared" si="65"/>
        <v>-8.99406898647916</v>
      </c>
      <c r="CI19" s="1">
        <f t="shared" si="65"/>
        <v>-5.88165662757932</v>
      </c>
      <c r="CJ19" s="1">
        <f t="shared" si="65"/>
        <v>-5.1566325239531</v>
      </c>
      <c r="CK19" s="1">
        <f t="shared" si="65"/>
        <v>-4.351676149556</v>
      </c>
      <c r="CL19" s="1">
        <f t="shared" si="65"/>
        <v>-4.81048488111745</v>
      </c>
      <c r="CM19" s="1">
        <f t="shared" si="65"/>
        <v>-5.71718245733152</v>
      </c>
      <c r="CN19" s="1">
        <f t="shared" si="65"/>
        <v>-4.64651620607889</v>
      </c>
      <c r="CO19" s="1">
        <f t="shared" si="65"/>
        <v>-7.3911326217889</v>
      </c>
      <c r="CP19" s="1">
        <f t="shared" si="65"/>
        <v>-7.2246077287337</v>
      </c>
      <c r="CQ19" s="1">
        <f t="shared" si="65"/>
        <v>-6.14065185342961</v>
      </c>
      <c r="CR19" s="1">
        <f t="shared" si="65"/>
        <v>-6.81663630379628</v>
      </c>
      <c r="CS19" s="1">
        <f t="shared" si="65"/>
        <v>-5.2248873022147</v>
      </c>
      <c r="CT19" s="1">
        <f t="shared" si="65"/>
        <v>-4.36471414181239</v>
      </c>
      <c r="CU19" s="1">
        <f t="shared" si="65"/>
        <v>-5.64460572484977</v>
      </c>
      <c r="CV19" s="1">
        <f t="shared" si="65"/>
        <v>-5.62627958933205</v>
      </c>
    </row>
    <row r="20" spans="1:100">
      <c r="A20" s="1" t="s">
        <v>28</v>
      </c>
      <c r="B20" s="1">
        <v>2023</v>
      </c>
      <c r="C20" s="1">
        <v>2359.03</v>
      </c>
      <c r="D20" s="1">
        <v>74660</v>
      </c>
      <c r="E20" s="1">
        <v>6.1</v>
      </c>
      <c r="F20" s="3">
        <v>36.5</v>
      </c>
      <c r="G20" s="1">
        <v>53.76</v>
      </c>
      <c r="H20" s="1">
        <v>139.42</v>
      </c>
      <c r="I20" s="1">
        <f t="shared" si="38"/>
        <v>4422</v>
      </c>
      <c r="J20" s="1">
        <v>0.13</v>
      </c>
      <c r="K20" s="1">
        <v>25.59</v>
      </c>
      <c r="L20" s="1">
        <v>1492.38</v>
      </c>
      <c r="M20" s="1">
        <f t="shared" si="0"/>
        <v>47329</v>
      </c>
      <c r="N20" s="1">
        <v>39851</v>
      </c>
      <c r="O20" s="1">
        <v>15354</v>
      </c>
      <c r="P20" s="1">
        <v>114605</v>
      </c>
      <c r="Q20" s="1">
        <v>51.06</v>
      </c>
      <c r="R20" s="1">
        <v>7.11</v>
      </c>
      <c r="S20" s="1">
        <v>37.75</v>
      </c>
      <c r="T20" s="1">
        <v>12075</v>
      </c>
      <c r="U20" s="1">
        <v>315.32</v>
      </c>
      <c r="V20" s="1">
        <v>63.58</v>
      </c>
      <c r="W20" s="1">
        <v>7.68</v>
      </c>
      <c r="X20" s="1">
        <v>13.02</v>
      </c>
      <c r="AA20" s="1">
        <f t="shared" si="6"/>
        <v>0.0388</v>
      </c>
      <c r="AB20" s="1">
        <f t="shared" si="7"/>
        <v>0.3359</v>
      </c>
      <c r="AC20" s="1">
        <f t="shared" si="8"/>
        <v>0.5977</v>
      </c>
      <c r="AD20" s="1">
        <f t="shared" si="9"/>
        <v>0.5349</v>
      </c>
      <c r="AE20" s="1">
        <f t="shared" si="10"/>
        <v>0.4863</v>
      </c>
      <c r="AF20" s="1">
        <f t="shared" si="11"/>
        <v>0.0345</v>
      </c>
      <c r="AG20" s="1">
        <f t="shared" si="12"/>
        <v>0.2945</v>
      </c>
      <c r="AH20" s="1">
        <f t="shared" si="13"/>
        <v>0.001</v>
      </c>
      <c r="AI20" s="1">
        <f t="shared" si="14"/>
        <v>0.0258</v>
      </c>
      <c r="AJ20" s="1">
        <f t="shared" si="15"/>
        <v>0.0543</v>
      </c>
      <c r="AK20" s="1">
        <f t="shared" si="16"/>
        <v>0.7474</v>
      </c>
      <c r="AL20" s="1">
        <f t="shared" si="17"/>
        <v>0.2744</v>
      </c>
      <c r="AM20" s="1">
        <f t="shared" si="18"/>
        <v>0.178</v>
      </c>
      <c r="AN20" s="1">
        <f t="shared" si="19"/>
        <v>0.2704</v>
      </c>
      <c r="AO20" s="1">
        <f t="shared" si="20"/>
        <v>0.0055</v>
      </c>
      <c r="AP20" s="1">
        <f t="shared" si="21"/>
        <v>0.0063</v>
      </c>
      <c r="AQ20" s="1">
        <f t="shared" si="22"/>
        <v>0.0079</v>
      </c>
      <c r="AR20" s="1">
        <f t="shared" si="23"/>
        <v>0.137</v>
      </c>
      <c r="AS20" s="1">
        <f t="shared" si="24"/>
        <v>0.053</v>
      </c>
      <c r="AT20" s="1">
        <f t="shared" si="25"/>
        <v>0.485</v>
      </c>
      <c r="AU20" s="1">
        <f t="shared" si="26"/>
        <v>0.0356</v>
      </c>
      <c r="AV20" s="1">
        <f t="shared" si="27"/>
        <v>0.0286</v>
      </c>
      <c r="AW20" s="4">
        <f t="shared" si="28"/>
        <v>0.0603</v>
      </c>
      <c r="BA20" s="1">
        <f t="shared" si="39"/>
        <v>0.00444449535504416</v>
      </c>
      <c r="BB20" s="1">
        <f t="shared" si="2"/>
        <v>0.00943884002585214</v>
      </c>
      <c r="BC20" s="1">
        <f t="shared" si="3"/>
        <v>0.0123389251076585</v>
      </c>
      <c r="BD20" s="1">
        <f t="shared" ref="BD20:BV20" si="66">AD20/SUM(AD$2:AD$91)</f>
        <v>0.00966633174546953</v>
      </c>
      <c r="BE20" s="1">
        <f t="shared" si="66"/>
        <v>0.016572439246317</v>
      </c>
      <c r="BF20" s="1">
        <f t="shared" si="66"/>
        <v>0.0042033187943176</v>
      </c>
      <c r="BG20" s="1">
        <f t="shared" si="66"/>
        <v>0.0104333839945867</v>
      </c>
      <c r="BH20" s="1">
        <f t="shared" si="66"/>
        <v>0.000206906540315739</v>
      </c>
      <c r="BI20" s="1">
        <f t="shared" si="66"/>
        <v>0.00298697539797395</v>
      </c>
      <c r="BJ20" s="1">
        <f t="shared" si="66"/>
        <v>0.00633250921304287</v>
      </c>
      <c r="BK20" s="1">
        <f t="shared" si="66"/>
        <v>0.0143054013704398</v>
      </c>
      <c r="BL20" s="1">
        <f t="shared" si="66"/>
        <v>0.0104181299760429</v>
      </c>
      <c r="BM20" s="1">
        <f t="shared" si="66"/>
        <v>0.00466854632483116</v>
      </c>
      <c r="BN20" s="1">
        <f t="shared" si="66"/>
        <v>0.0117397288226841</v>
      </c>
      <c r="BO20" s="1">
        <f t="shared" si="66"/>
        <v>0.000706632063108667</v>
      </c>
      <c r="BP20" s="1">
        <f t="shared" si="66"/>
        <v>0.00101981351981352</v>
      </c>
      <c r="BQ20" s="1">
        <f t="shared" si="66"/>
        <v>0.00233052097468877</v>
      </c>
      <c r="BR20" s="1">
        <f t="shared" si="66"/>
        <v>0.0151585562858218</v>
      </c>
      <c r="BS20" s="1">
        <f t="shared" si="66"/>
        <v>0.00536073715193138</v>
      </c>
      <c r="BT20" s="1">
        <f t="shared" si="66"/>
        <v>0.0133485626212724</v>
      </c>
      <c r="BU20" s="1">
        <f t="shared" si="66"/>
        <v>0.00379219617158622</v>
      </c>
      <c r="BV20" s="1">
        <f t="shared" si="66"/>
        <v>0.00380132115847256</v>
      </c>
      <c r="CA20" s="1">
        <f t="shared" si="30"/>
        <v>-5.41608894738509</v>
      </c>
      <c r="CB20" s="1">
        <f t="shared" ref="CB20:CV20" si="67">IF(BB20=0,0,LN(BB20))</f>
        <v>-4.66292218499228</v>
      </c>
      <c r="CC20" s="1">
        <f t="shared" si="67"/>
        <v>-4.39499637064746</v>
      </c>
      <c r="CD20" s="1">
        <f t="shared" si="67"/>
        <v>-4.63910638528439</v>
      </c>
      <c r="CE20" s="1">
        <f t="shared" si="67"/>
        <v>-4.10001424978895</v>
      </c>
      <c r="CF20" s="1">
        <f t="shared" si="67"/>
        <v>-5.47188087660463</v>
      </c>
      <c r="CG20" s="1">
        <f t="shared" si="67"/>
        <v>-4.56274461440474</v>
      </c>
      <c r="CH20" s="1">
        <f t="shared" si="67"/>
        <v>-8.48324336271317</v>
      </c>
      <c r="CI20" s="1">
        <f t="shared" si="67"/>
        <v>-5.81349397614835</v>
      </c>
      <c r="CJ20" s="1">
        <f t="shared" si="67"/>
        <v>-5.06205872120709</v>
      </c>
      <c r="CK20" s="1">
        <f t="shared" si="67"/>
        <v>-4.24711809482127</v>
      </c>
      <c r="CL20" s="1">
        <f t="shared" si="67"/>
        <v>-4.56420772363379</v>
      </c>
      <c r="CM20" s="1">
        <f t="shared" si="67"/>
        <v>-5.36690753523825</v>
      </c>
      <c r="CN20" s="1">
        <f t="shared" si="67"/>
        <v>-4.44477656342783</v>
      </c>
      <c r="CO20" s="1">
        <f t="shared" si="67"/>
        <v>-7.25500044746432</v>
      </c>
      <c r="CP20" s="1">
        <f t="shared" si="67"/>
        <v>-6.88813549211249</v>
      </c>
      <c r="CQ20" s="1">
        <f t="shared" si="67"/>
        <v>-6.06166344211098</v>
      </c>
      <c r="CR20" s="1">
        <f t="shared" si="67"/>
        <v>-4.1891901351087</v>
      </c>
      <c r="CS20" s="1">
        <f t="shared" si="67"/>
        <v>-5.22865378501018</v>
      </c>
      <c r="CT20" s="1">
        <f t="shared" si="67"/>
        <v>-4.31634656875113</v>
      </c>
      <c r="CU20" s="1">
        <f t="shared" si="67"/>
        <v>-5.57480996291422</v>
      </c>
      <c r="CV20" s="1">
        <f t="shared" si="67"/>
        <v>-5.5724065993919</v>
      </c>
    </row>
    <row r="21" spans="1:100">
      <c r="A21" s="1" t="s">
        <v>28</v>
      </c>
      <c r="B21" s="1">
        <v>2024</v>
      </c>
      <c r="C21" s="1">
        <v>2565.84</v>
      </c>
      <c r="D21" s="1">
        <v>81515</v>
      </c>
      <c r="E21" s="1">
        <v>6.5</v>
      </c>
      <c r="F21" s="1">
        <v>36.06</v>
      </c>
      <c r="G21" s="3">
        <v>54.3</v>
      </c>
      <c r="H21" s="1">
        <v>154.55</v>
      </c>
      <c r="I21" s="1">
        <f t="shared" si="38"/>
        <v>4919</v>
      </c>
      <c r="J21" s="3">
        <v>0.1</v>
      </c>
      <c r="K21" s="1">
        <v>22.42</v>
      </c>
      <c r="L21" s="1">
        <v>1563.33</v>
      </c>
      <c r="M21" s="1">
        <f t="shared" si="0"/>
        <v>49753</v>
      </c>
      <c r="N21" s="1">
        <v>41529</v>
      </c>
      <c r="O21" s="1">
        <v>16294</v>
      </c>
      <c r="P21" s="1">
        <v>126553</v>
      </c>
      <c r="Q21" s="3">
        <v>52.4</v>
      </c>
      <c r="R21" s="1">
        <v>7.19</v>
      </c>
      <c r="S21" s="1">
        <v>39.58</v>
      </c>
      <c r="T21" s="1">
        <v>14522</v>
      </c>
      <c r="U21" s="1">
        <v>314.22</v>
      </c>
      <c r="V21" s="3">
        <v>64.5</v>
      </c>
      <c r="W21" s="1">
        <v>8.33</v>
      </c>
      <c r="X21" s="1">
        <v>3.31</v>
      </c>
      <c r="AA21" s="1">
        <f t="shared" si="6"/>
        <v>0.0423</v>
      </c>
      <c r="AB21" s="1">
        <f t="shared" si="7"/>
        <v>0.3907</v>
      </c>
      <c r="AC21" s="1">
        <f t="shared" si="8"/>
        <v>0.6128</v>
      </c>
      <c r="AD21" s="1">
        <f t="shared" si="9"/>
        <v>0.518</v>
      </c>
      <c r="AE21" s="1">
        <f t="shared" si="10"/>
        <v>0.5063</v>
      </c>
      <c r="AF21" s="1">
        <f t="shared" si="11"/>
        <v>0.0383</v>
      </c>
      <c r="AG21" s="1">
        <f t="shared" si="12"/>
        <v>0.3403</v>
      </c>
      <c r="AH21" s="1">
        <f t="shared" si="13"/>
        <v>0.0008</v>
      </c>
      <c r="AI21" s="1">
        <f t="shared" si="14"/>
        <v>0.0226</v>
      </c>
      <c r="AJ21" s="1">
        <f t="shared" si="15"/>
        <v>0.0569</v>
      </c>
      <c r="AK21" s="1">
        <f t="shared" si="16"/>
        <v>0.7878</v>
      </c>
      <c r="AL21" s="1">
        <f t="shared" si="17"/>
        <v>0.3241</v>
      </c>
      <c r="AM21" s="1">
        <f t="shared" si="18"/>
        <v>0.2206</v>
      </c>
      <c r="AN21" s="1">
        <f t="shared" si="19"/>
        <v>0.319</v>
      </c>
      <c r="AO21" s="1">
        <f t="shared" si="20"/>
        <v>0.0056</v>
      </c>
      <c r="AP21" s="1">
        <f t="shared" si="21"/>
        <v>0.0064</v>
      </c>
      <c r="AQ21" s="1">
        <f t="shared" si="22"/>
        <v>0.0083</v>
      </c>
      <c r="AR21" s="1">
        <f t="shared" si="23"/>
        <v>0.1651</v>
      </c>
      <c r="AS21" s="1">
        <f t="shared" si="24"/>
        <v>0.0528</v>
      </c>
      <c r="AT21" s="1">
        <f t="shared" si="25"/>
        <v>0.5071</v>
      </c>
      <c r="AU21" s="1">
        <f t="shared" si="26"/>
        <v>0.0386</v>
      </c>
      <c r="AV21" s="1">
        <f t="shared" si="27"/>
        <v>0.0063</v>
      </c>
      <c r="AW21" s="4">
        <f t="shared" si="28"/>
        <v>0.0636</v>
      </c>
      <c r="BA21" s="1">
        <f t="shared" si="39"/>
        <v>0.00484541632779299</v>
      </c>
      <c r="BB21" s="1">
        <f t="shared" si="2"/>
        <v>0.0109787281872594</v>
      </c>
      <c r="BC21" s="1">
        <f t="shared" si="3"/>
        <v>0.0126506496670121</v>
      </c>
      <c r="BD21" s="1">
        <f t="shared" ref="BD21:BV21" si="68">AD21/SUM(AD$2:AD$91)</f>
        <v>0.00936092698476952</v>
      </c>
      <c r="BE21" s="1">
        <f t="shared" si="68"/>
        <v>0.0172540119070744</v>
      </c>
      <c r="BF21" s="1">
        <f t="shared" si="68"/>
        <v>0.00466629303832939</v>
      </c>
      <c r="BG21" s="1">
        <f t="shared" si="68"/>
        <v>0.0120559611998569</v>
      </c>
      <c r="BH21" s="1">
        <f t="shared" si="68"/>
        <v>0.000165525232252591</v>
      </c>
      <c r="BI21" s="1">
        <f t="shared" si="68"/>
        <v>0.002616497829233</v>
      </c>
      <c r="BJ21" s="1">
        <f t="shared" si="68"/>
        <v>0.00663572328217568</v>
      </c>
      <c r="BK21" s="1">
        <f t="shared" si="68"/>
        <v>0.0150786663093825</v>
      </c>
      <c r="BL21" s="1">
        <f t="shared" si="68"/>
        <v>0.0123050871910914</v>
      </c>
      <c r="BM21" s="1">
        <f t="shared" si="68"/>
        <v>0.00578585010818963</v>
      </c>
      <c r="BN21" s="1">
        <f t="shared" si="68"/>
        <v>0.0138497540474712</v>
      </c>
      <c r="BO21" s="1">
        <f t="shared" si="68"/>
        <v>0.000719479918801552</v>
      </c>
      <c r="BP21" s="1">
        <f t="shared" si="68"/>
        <v>0.00103600103600104</v>
      </c>
      <c r="BQ21" s="1">
        <f t="shared" si="68"/>
        <v>0.00244852203669833</v>
      </c>
      <c r="BR21" s="1">
        <f t="shared" si="68"/>
        <v>0.0182677200203589</v>
      </c>
      <c r="BS21" s="1">
        <f t="shared" si="68"/>
        <v>0.00534050795513164</v>
      </c>
      <c r="BT21" s="1">
        <f t="shared" si="68"/>
        <v>0.0139568167118499</v>
      </c>
      <c r="BU21" s="1">
        <f t="shared" si="68"/>
        <v>0.00411176326469742</v>
      </c>
      <c r="BV21" s="1">
        <f t="shared" si="68"/>
        <v>0.000837353961481718</v>
      </c>
      <c r="CA21" s="1">
        <f t="shared" si="30"/>
        <v>-5.32972210796209</v>
      </c>
      <c r="CB21" s="1">
        <f t="shared" ref="CB21:CV21" si="69">IF(BB21=0,0,LN(BB21))</f>
        <v>-4.5117956795495</v>
      </c>
      <c r="CC21" s="1">
        <f t="shared" si="69"/>
        <v>-4.37004670805128</v>
      </c>
      <c r="CD21" s="1">
        <f t="shared" si="69"/>
        <v>-4.67121095656211</v>
      </c>
      <c r="CE21" s="1">
        <f t="shared" si="69"/>
        <v>-4.05971058822283</v>
      </c>
      <c r="CF21" s="1">
        <f t="shared" si="69"/>
        <v>-5.36739030445535</v>
      </c>
      <c r="CG21" s="1">
        <f t="shared" si="69"/>
        <v>-4.41819603598953</v>
      </c>
      <c r="CH21" s="1">
        <f t="shared" si="69"/>
        <v>-8.70638691402738</v>
      </c>
      <c r="CI21" s="1">
        <f t="shared" si="69"/>
        <v>-5.94591856179769</v>
      </c>
      <c r="CJ21" s="1">
        <f t="shared" si="69"/>
        <v>-5.0152876070147</v>
      </c>
      <c r="CK21" s="1">
        <f t="shared" si="69"/>
        <v>-4.19447436133584</v>
      </c>
      <c r="CL21" s="1">
        <f t="shared" si="69"/>
        <v>-4.39774250933802</v>
      </c>
      <c r="CM21" s="1">
        <f t="shared" si="69"/>
        <v>-5.15233997871094</v>
      </c>
      <c r="CN21" s="1">
        <f t="shared" si="69"/>
        <v>-4.2794878048118</v>
      </c>
      <c r="CO21" s="1">
        <f t="shared" si="69"/>
        <v>-7.23698194196164</v>
      </c>
      <c r="CP21" s="1">
        <f t="shared" si="69"/>
        <v>-6.87238713514435</v>
      </c>
      <c r="CQ21" s="1">
        <f t="shared" si="69"/>
        <v>-6.0122706867814</v>
      </c>
      <c r="CR21" s="1">
        <f t="shared" si="69"/>
        <v>-4.00261971001074</v>
      </c>
      <c r="CS21" s="1">
        <f t="shared" si="69"/>
        <v>-5.23243450785008</v>
      </c>
      <c r="CT21" s="1">
        <f t="shared" si="69"/>
        <v>-4.27178723688764</v>
      </c>
      <c r="CU21" s="1">
        <f t="shared" si="69"/>
        <v>-5.49390332430142</v>
      </c>
      <c r="CV21" s="1">
        <f t="shared" si="69"/>
        <v>-7.08526368382021</v>
      </c>
    </row>
    <row r="22" spans="1:100">
      <c r="A22" s="1" t="s">
        <v>29</v>
      </c>
      <c r="B22" s="1">
        <v>2020</v>
      </c>
      <c r="C22" s="1">
        <v>4261.42</v>
      </c>
      <c r="D22" s="1">
        <v>104503</v>
      </c>
      <c r="E22" s="1">
        <v>-4.7</v>
      </c>
      <c r="F22" s="1">
        <v>42.91</v>
      </c>
      <c r="G22" s="1">
        <v>46.31</v>
      </c>
      <c r="H22" s="1">
        <v>139.97</v>
      </c>
      <c r="I22" s="1">
        <f t="shared" si="38"/>
        <v>3592</v>
      </c>
      <c r="J22" s="1">
        <v>1.41</v>
      </c>
      <c r="K22" s="3">
        <v>29.9</v>
      </c>
      <c r="L22" s="1">
        <v>1413.07</v>
      </c>
      <c r="M22" s="1">
        <f t="shared" si="0"/>
        <v>36266</v>
      </c>
      <c r="N22" s="1">
        <v>37232</v>
      </c>
      <c r="O22" s="1">
        <v>18515</v>
      </c>
      <c r="P22" s="1">
        <v>112665</v>
      </c>
      <c r="Q22" s="1">
        <v>449.84</v>
      </c>
      <c r="R22" s="1">
        <v>16.77</v>
      </c>
      <c r="S22" s="1">
        <v>389.72</v>
      </c>
      <c r="T22" s="1">
        <v>7753</v>
      </c>
      <c r="U22" s="1">
        <v>389.64</v>
      </c>
      <c r="V22" s="1">
        <v>63.77</v>
      </c>
      <c r="W22" s="1">
        <v>6.11</v>
      </c>
      <c r="X22" s="1">
        <v>15.11</v>
      </c>
      <c r="AA22" s="1">
        <f t="shared" si="6"/>
        <v>0.0705</v>
      </c>
      <c r="AB22" s="1">
        <f t="shared" si="7"/>
        <v>0.5745</v>
      </c>
      <c r="AC22" s="1">
        <f t="shared" si="8"/>
        <v>0.1917</v>
      </c>
      <c r="AD22" s="1">
        <f t="shared" si="9"/>
        <v>0.7811</v>
      </c>
      <c r="AE22" s="1">
        <f t="shared" si="10"/>
        <v>0.2095</v>
      </c>
      <c r="AF22" s="1">
        <f t="shared" si="11"/>
        <v>0.0346</v>
      </c>
      <c r="AG22" s="1">
        <f t="shared" si="12"/>
        <v>0.218</v>
      </c>
      <c r="AH22" s="1">
        <f t="shared" si="13"/>
        <v>0.0113</v>
      </c>
      <c r="AI22" s="1">
        <f t="shared" si="14"/>
        <v>0.0301</v>
      </c>
      <c r="AJ22" s="1">
        <f t="shared" si="15"/>
        <v>0.0514</v>
      </c>
      <c r="AK22" s="1">
        <f t="shared" si="16"/>
        <v>0.5631</v>
      </c>
      <c r="AL22" s="1">
        <f t="shared" si="17"/>
        <v>0.1968</v>
      </c>
      <c r="AM22" s="1">
        <f t="shared" si="18"/>
        <v>0.321</v>
      </c>
      <c r="AN22" s="1">
        <f t="shared" si="19"/>
        <v>0.2625</v>
      </c>
      <c r="AO22" s="1">
        <f t="shared" si="20"/>
        <v>0.0494</v>
      </c>
      <c r="AP22" s="1">
        <f t="shared" si="21"/>
        <v>0.0151</v>
      </c>
      <c r="AQ22" s="1">
        <f t="shared" si="22"/>
        <v>0.0832</v>
      </c>
      <c r="AR22" s="1">
        <f t="shared" si="23"/>
        <v>0.0874</v>
      </c>
      <c r="AS22" s="1">
        <f t="shared" si="24"/>
        <v>0.0657</v>
      </c>
      <c r="AT22" s="1">
        <f t="shared" si="25"/>
        <v>0.4895</v>
      </c>
      <c r="AU22" s="1">
        <f t="shared" si="26"/>
        <v>0.0283</v>
      </c>
      <c r="AV22" s="1">
        <f t="shared" si="27"/>
        <v>0.0334</v>
      </c>
      <c r="AW22" s="4">
        <f t="shared" si="28"/>
        <v>0.0685</v>
      </c>
      <c r="BA22" s="1">
        <f t="shared" si="39"/>
        <v>0.00807569387965498</v>
      </c>
      <c r="BB22" s="1">
        <f t="shared" si="2"/>
        <v>0.0161435355607385</v>
      </c>
      <c r="BC22" s="1">
        <f t="shared" si="3"/>
        <v>0.00395745682305192</v>
      </c>
      <c r="BD22" s="1">
        <f t="shared" ref="BD22:BV22" si="70">AD22/SUM(AD$2:AD$91)</f>
        <v>0.0141154827563774</v>
      </c>
      <c r="BE22" s="1">
        <f t="shared" si="70"/>
        <v>0.0071394736214341</v>
      </c>
      <c r="BF22" s="1">
        <f t="shared" si="70"/>
        <v>0.00421550232705475</v>
      </c>
      <c r="BG22" s="1">
        <f t="shared" si="70"/>
        <v>0.00772318407748692</v>
      </c>
      <c r="BH22" s="1">
        <f t="shared" si="70"/>
        <v>0.00233804390556785</v>
      </c>
      <c r="BI22" s="1">
        <f t="shared" si="70"/>
        <v>0.00348480463096961</v>
      </c>
      <c r="BJ22" s="1">
        <f t="shared" si="70"/>
        <v>0.00599430890516397</v>
      </c>
      <c r="BK22" s="1">
        <f t="shared" si="70"/>
        <v>0.0107778585920453</v>
      </c>
      <c r="BL22" s="1">
        <f t="shared" si="70"/>
        <v>0.00747189496824065</v>
      </c>
      <c r="BM22" s="1">
        <f t="shared" si="70"/>
        <v>0.00841912005770113</v>
      </c>
      <c r="BN22" s="1">
        <f t="shared" si="70"/>
        <v>0.0113967411832639</v>
      </c>
      <c r="BO22" s="1">
        <f t="shared" si="70"/>
        <v>0.00634684071228512</v>
      </c>
      <c r="BP22" s="1">
        <f t="shared" si="70"/>
        <v>0.00244431494431494</v>
      </c>
      <c r="BQ22" s="1">
        <f t="shared" si="70"/>
        <v>0.0245442208979881</v>
      </c>
      <c r="BR22" s="1">
        <f t="shared" si="70"/>
        <v>0.0096704950319768</v>
      </c>
      <c r="BS22" s="1">
        <f t="shared" si="70"/>
        <v>0.00664529114871494</v>
      </c>
      <c r="BT22" s="1">
        <f t="shared" si="70"/>
        <v>0.0134724152641502</v>
      </c>
      <c r="BU22" s="1">
        <f t="shared" si="70"/>
        <v>0.00301458291168231</v>
      </c>
      <c r="BV22" s="1">
        <f t="shared" si="70"/>
        <v>0.0044393051291253</v>
      </c>
      <c r="CA22" s="1">
        <f t="shared" si="30"/>
        <v>-4.8188964841961</v>
      </c>
      <c r="CB22" s="1">
        <f t="shared" ref="CB22:CV22" si="71">IF(BB22=0,0,LN(BB22))</f>
        <v>-4.12623558432172</v>
      </c>
      <c r="CC22" s="1">
        <f t="shared" si="71"/>
        <v>-5.53215367642606</v>
      </c>
      <c r="CD22" s="1">
        <f t="shared" si="71"/>
        <v>-4.26048301620534</v>
      </c>
      <c r="CE22" s="1">
        <f t="shared" si="71"/>
        <v>-4.9421162278365</v>
      </c>
      <c r="CF22" s="1">
        <f t="shared" si="71"/>
        <v>-5.46898651857827</v>
      </c>
      <c r="CG22" s="1">
        <f t="shared" si="71"/>
        <v>-4.8635285547073</v>
      </c>
      <c r="CH22" s="1">
        <f t="shared" si="71"/>
        <v>-6.05844063699488</v>
      </c>
      <c r="CI22" s="1">
        <f t="shared" si="71"/>
        <v>-5.6593432963211</v>
      </c>
      <c r="CJ22" s="1">
        <f t="shared" si="71"/>
        <v>-5.11694477568586</v>
      </c>
      <c r="CK22" s="1">
        <f t="shared" si="71"/>
        <v>-4.53026137961208</v>
      </c>
      <c r="CL22" s="1">
        <f t="shared" si="71"/>
        <v>-4.89660663486737</v>
      </c>
      <c r="CM22" s="1">
        <f t="shared" si="71"/>
        <v>-4.77724996240032</v>
      </c>
      <c r="CN22" s="1">
        <f t="shared" si="71"/>
        <v>-4.47442782556496</v>
      </c>
      <c r="CO22" s="1">
        <f t="shared" si="71"/>
        <v>-5.05979811550887</v>
      </c>
      <c r="CP22" s="1">
        <f t="shared" si="71"/>
        <v>-6.01399038168909</v>
      </c>
      <c r="CQ22" s="1">
        <f t="shared" si="71"/>
        <v>-3.70727885375679</v>
      </c>
      <c r="CR22" s="1">
        <f t="shared" si="71"/>
        <v>-4.63867577827533</v>
      </c>
      <c r="CS22" s="1">
        <f t="shared" si="71"/>
        <v>-5.01384677307173</v>
      </c>
      <c r="CT22" s="1">
        <f t="shared" si="71"/>
        <v>-4.30711099771805</v>
      </c>
      <c r="CU22" s="1">
        <f t="shared" si="71"/>
        <v>-5.80429379612302</v>
      </c>
      <c r="CV22" s="1">
        <f t="shared" si="71"/>
        <v>-5.41725741723505</v>
      </c>
    </row>
    <row r="23" spans="1:100">
      <c r="A23" s="1" t="s">
        <v>29</v>
      </c>
      <c r="B23" s="1">
        <v>2021</v>
      </c>
      <c r="C23" s="1">
        <v>5022.69</v>
      </c>
      <c r="D23" s="1">
        <v>128680</v>
      </c>
      <c r="E23" s="1">
        <v>16.8</v>
      </c>
      <c r="F23" s="1">
        <v>41.88</v>
      </c>
      <c r="G23" s="1">
        <v>47.19</v>
      </c>
      <c r="H23" s="1">
        <v>198.42</v>
      </c>
      <c r="I23" s="1">
        <f t="shared" si="38"/>
        <v>5075</v>
      </c>
      <c r="J23" s="1">
        <v>1.69</v>
      </c>
      <c r="K23" s="1">
        <v>52.47</v>
      </c>
      <c r="L23" s="1">
        <v>1857.47</v>
      </c>
      <c r="M23" s="1">
        <f t="shared" si="0"/>
        <v>47504</v>
      </c>
      <c r="N23" s="1">
        <v>41030</v>
      </c>
      <c r="O23" s="1">
        <v>20764</v>
      </c>
      <c r="P23" s="1">
        <v>121387</v>
      </c>
      <c r="Q23" s="1">
        <v>660.84</v>
      </c>
      <c r="R23" s="1">
        <v>18.11</v>
      </c>
      <c r="S23" s="1">
        <v>73.49</v>
      </c>
      <c r="T23" s="1">
        <v>8373</v>
      </c>
      <c r="U23" s="1">
        <v>391.01</v>
      </c>
      <c r="V23" s="1">
        <v>63.87</v>
      </c>
      <c r="W23" s="1">
        <v>7.16</v>
      </c>
      <c r="X23" s="1">
        <v>15.47</v>
      </c>
      <c r="AA23" s="1">
        <f t="shared" si="6"/>
        <v>0.0832</v>
      </c>
      <c r="AB23" s="1">
        <f t="shared" si="7"/>
        <v>0.7678</v>
      </c>
      <c r="AC23" s="1">
        <f t="shared" si="8"/>
        <v>1</v>
      </c>
      <c r="AD23" s="1">
        <f t="shared" si="9"/>
        <v>0.7416</v>
      </c>
      <c r="AE23" s="1">
        <f t="shared" si="10"/>
        <v>0.2422</v>
      </c>
      <c r="AF23" s="1">
        <f t="shared" si="11"/>
        <v>0.0495</v>
      </c>
      <c r="AG23" s="1">
        <f t="shared" si="12"/>
        <v>0.3547</v>
      </c>
      <c r="AH23" s="1">
        <f t="shared" si="13"/>
        <v>0.0136</v>
      </c>
      <c r="AI23" s="1">
        <f t="shared" si="14"/>
        <v>0.0529</v>
      </c>
      <c r="AJ23" s="1">
        <f t="shared" si="15"/>
        <v>0.0677</v>
      </c>
      <c r="AK23" s="1">
        <f t="shared" si="16"/>
        <v>0.7503</v>
      </c>
      <c r="AL23" s="1">
        <f t="shared" si="17"/>
        <v>0.3093</v>
      </c>
      <c r="AM23" s="1">
        <f t="shared" si="18"/>
        <v>0.4227</v>
      </c>
      <c r="AN23" s="1">
        <f t="shared" si="19"/>
        <v>0.298</v>
      </c>
      <c r="AO23" s="1">
        <f t="shared" si="20"/>
        <v>0.0726</v>
      </c>
      <c r="AP23" s="1">
        <f t="shared" si="21"/>
        <v>0.0163</v>
      </c>
      <c r="AQ23" s="1">
        <f t="shared" si="22"/>
        <v>0.0156</v>
      </c>
      <c r="AR23" s="1">
        <f t="shared" si="23"/>
        <v>0.0945</v>
      </c>
      <c r="AS23" s="1">
        <f t="shared" si="24"/>
        <v>0.066</v>
      </c>
      <c r="AT23" s="1">
        <f t="shared" si="25"/>
        <v>0.4919</v>
      </c>
      <c r="AU23" s="1">
        <f t="shared" si="26"/>
        <v>0.0332</v>
      </c>
      <c r="AV23" s="1">
        <f t="shared" si="27"/>
        <v>0.0343</v>
      </c>
      <c r="AW23" s="4">
        <f t="shared" si="28"/>
        <v>0.0817</v>
      </c>
      <c r="BA23" s="1">
        <f t="shared" si="39"/>
        <v>0.00953046426648644</v>
      </c>
      <c r="BB23" s="1">
        <f t="shared" si="2"/>
        <v>0.0215752943490601</v>
      </c>
      <c r="BC23" s="1">
        <f t="shared" si="3"/>
        <v>0.0206440105532182</v>
      </c>
      <c r="BD23" s="1">
        <f t="shared" ref="BD23:BV23" si="72">AD23/SUM(AD$2:AD$91)</f>
        <v>0.0134016668955696</v>
      </c>
      <c r="BE23" s="1">
        <f t="shared" si="72"/>
        <v>0.0082538449217725</v>
      </c>
      <c r="BF23" s="1">
        <f t="shared" si="72"/>
        <v>0.00603084870489047</v>
      </c>
      <c r="BG23" s="1">
        <f t="shared" si="72"/>
        <v>0.0125661164783698</v>
      </c>
      <c r="BH23" s="1">
        <f t="shared" si="72"/>
        <v>0.00281392894829405</v>
      </c>
      <c r="BI23" s="1">
        <f t="shared" si="72"/>
        <v>0.00612445730824892</v>
      </c>
      <c r="BJ23" s="1">
        <f t="shared" si="72"/>
        <v>0.00789522787703504</v>
      </c>
      <c r="BK23" s="1">
        <f t="shared" si="72"/>
        <v>0.0143609080120966</v>
      </c>
      <c r="BL23" s="1">
        <f t="shared" si="72"/>
        <v>0.0117431763906343</v>
      </c>
      <c r="BM23" s="1">
        <f t="shared" si="72"/>
        <v>0.0110864861320569</v>
      </c>
      <c r="BN23" s="1">
        <f t="shared" si="72"/>
        <v>0.0129380147528101</v>
      </c>
      <c r="BO23" s="1">
        <f t="shared" si="72"/>
        <v>0.00932754323303441</v>
      </c>
      <c r="BP23" s="1">
        <f t="shared" si="72"/>
        <v>0.00263856513856514</v>
      </c>
      <c r="BQ23" s="1">
        <f t="shared" si="72"/>
        <v>0.00460204141837276</v>
      </c>
      <c r="BR23" s="1">
        <f t="shared" si="72"/>
        <v>0.0104560844453296</v>
      </c>
      <c r="BS23" s="1">
        <f t="shared" si="72"/>
        <v>0.00667563494391455</v>
      </c>
      <c r="BT23" s="1">
        <f t="shared" si="72"/>
        <v>0.0135384700070183</v>
      </c>
      <c r="BU23" s="1">
        <f t="shared" si="72"/>
        <v>0.00353654249709727</v>
      </c>
      <c r="BV23" s="1">
        <f t="shared" si="72"/>
        <v>0.00455892712362269</v>
      </c>
      <c r="CA23" s="1">
        <f t="shared" si="30"/>
        <v>-4.65326184618716</v>
      </c>
      <c r="CB23" s="1">
        <f t="shared" ref="CB23:CV23" si="73">IF(BB23=0,0,LN(BB23))</f>
        <v>-3.83620639904383</v>
      </c>
      <c r="CC23" s="1">
        <f t="shared" si="73"/>
        <v>-3.88033004749553</v>
      </c>
      <c r="CD23" s="1">
        <f t="shared" si="73"/>
        <v>-4.31237618456995</v>
      </c>
      <c r="CE23" s="1">
        <f t="shared" si="73"/>
        <v>-4.7970761360797</v>
      </c>
      <c r="CF23" s="1">
        <f t="shared" si="73"/>
        <v>-5.1108675310673</v>
      </c>
      <c r="CG23" s="1">
        <f t="shared" si="73"/>
        <v>-4.37675125571681</v>
      </c>
      <c r="CH23" s="1">
        <f t="shared" si="73"/>
        <v>-5.87317356997116</v>
      </c>
      <c r="CI23" s="1">
        <f t="shared" si="73"/>
        <v>-5.09546512921167</v>
      </c>
      <c r="CJ23" s="1">
        <f t="shared" si="73"/>
        <v>-4.84149676822875</v>
      </c>
      <c r="CK23" s="1">
        <f t="shared" si="73"/>
        <v>-4.24324548532097</v>
      </c>
      <c r="CL23" s="1">
        <f t="shared" si="73"/>
        <v>-4.4444829397945</v>
      </c>
      <c r="CM23" s="1">
        <f t="shared" si="73"/>
        <v>-4.5020283779576</v>
      </c>
      <c r="CN23" s="1">
        <f t="shared" si="73"/>
        <v>-4.34758542109124</v>
      </c>
      <c r="CO23" s="1">
        <f t="shared" si="73"/>
        <v>-4.67478361787199</v>
      </c>
      <c r="CP23" s="1">
        <f t="shared" si="73"/>
        <v>-5.93752001769726</v>
      </c>
      <c r="CQ23" s="1">
        <f t="shared" si="73"/>
        <v>-5.38125528732846</v>
      </c>
      <c r="CR23" s="1">
        <f t="shared" si="73"/>
        <v>-4.56057122643713</v>
      </c>
      <c r="CS23" s="1">
        <f t="shared" si="73"/>
        <v>-5.00929095653587</v>
      </c>
      <c r="CT23" s="1">
        <f t="shared" si="73"/>
        <v>-4.30222001588732</v>
      </c>
      <c r="CU23" s="1">
        <f t="shared" si="73"/>
        <v>-5.64460572484977</v>
      </c>
      <c r="CV23" s="1">
        <f t="shared" si="73"/>
        <v>-5.39066796304581</v>
      </c>
    </row>
    <row r="24" spans="1:100">
      <c r="A24" s="1" t="s">
        <v>29</v>
      </c>
      <c r="B24" s="1">
        <v>2022</v>
      </c>
      <c r="C24" s="1">
        <v>5502.69</v>
      </c>
      <c r="D24" s="1">
        <v>140552</v>
      </c>
      <c r="E24" s="1">
        <v>5.5</v>
      </c>
      <c r="F24" s="1">
        <v>44.11</v>
      </c>
      <c r="G24" s="1">
        <v>45.21</v>
      </c>
      <c r="H24" s="1">
        <v>218.21</v>
      </c>
      <c r="I24" s="1">
        <f t="shared" si="38"/>
        <v>5567</v>
      </c>
      <c r="J24" s="1">
        <v>0.33</v>
      </c>
      <c r="K24" s="1">
        <v>61.66</v>
      </c>
      <c r="L24" s="1">
        <v>1953.07</v>
      </c>
      <c r="M24" s="1">
        <f t="shared" si="0"/>
        <v>49823</v>
      </c>
      <c r="N24" s="1">
        <v>43943</v>
      </c>
      <c r="O24" s="1">
        <v>22571</v>
      </c>
      <c r="P24" s="1">
        <v>144062</v>
      </c>
      <c r="Q24" s="1">
        <v>697.61</v>
      </c>
      <c r="R24" s="1">
        <v>14.39</v>
      </c>
      <c r="S24" s="1">
        <v>82.95</v>
      </c>
      <c r="T24" s="1">
        <v>7905</v>
      </c>
      <c r="U24" s="3">
        <v>392</v>
      </c>
      <c r="V24" s="1">
        <v>64.47</v>
      </c>
      <c r="W24" s="1">
        <v>7.68</v>
      </c>
      <c r="X24" s="1">
        <v>23.09</v>
      </c>
      <c r="AA24" s="1">
        <f t="shared" si="6"/>
        <v>0.0912</v>
      </c>
      <c r="AB24" s="1">
        <f t="shared" si="7"/>
        <v>0.8627</v>
      </c>
      <c r="AC24" s="1">
        <f t="shared" si="8"/>
        <v>0.5752</v>
      </c>
      <c r="AD24" s="1">
        <f t="shared" si="9"/>
        <v>0.8272</v>
      </c>
      <c r="AE24" s="1">
        <f t="shared" si="10"/>
        <v>0.1686</v>
      </c>
      <c r="AF24" s="1">
        <f t="shared" si="11"/>
        <v>0.0545</v>
      </c>
      <c r="AG24" s="1">
        <f t="shared" si="12"/>
        <v>0.4001</v>
      </c>
      <c r="AH24" s="1">
        <f t="shared" si="13"/>
        <v>0.0026</v>
      </c>
      <c r="AI24" s="1">
        <f t="shared" si="14"/>
        <v>0.0622</v>
      </c>
      <c r="AJ24" s="1">
        <f t="shared" si="15"/>
        <v>0.0713</v>
      </c>
      <c r="AK24" s="1">
        <f t="shared" si="16"/>
        <v>0.789</v>
      </c>
      <c r="AL24" s="1">
        <f t="shared" si="17"/>
        <v>0.3956</v>
      </c>
      <c r="AM24" s="1">
        <f t="shared" si="18"/>
        <v>0.5044</v>
      </c>
      <c r="AN24" s="1">
        <f t="shared" si="19"/>
        <v>0.3902</v>
      </c>
      <c r="AO24" s="1">
        <f t="shared" si="20"/>
        <v>0.0767</v>
      </c>
      <c r="AP24" s="1">
        <f t="shared" si="21"/>
        <v>0.0129</v>
      </c>
      <c r="AQ24" s="1">
        <f t="shared" si="22"/>
        <v>0.0176</v>
      </c>
      <c r="AR24" s="1">
        <f t="shared" si="23"/>
        <v>0.0892</v>
      </c>
      <c r="AS24" s="1">
        <f t="shared" si="24"/>
        <v>0.0662</v>
      </c>
      <c r="AT24" s="1">
        <f t="shared" si="25"/>
        <v>0.5064</v>
      </c>
      <c r="AU24" s="1">
        <f t="shared" si="26"/>
        <v>0.0356</v>
      </c>
      <c r="AV24" s="1">
        <f t="shared" si="27"/>
        <v>0.0518</v>
      </c>
      <c r="AW24" s="4">
        <f t="shared" si="28"/>
        <v>0.0851</v>
      </c>
      <c r="BA24" s="1">
        <f t="shared" si="39"/>
        <v>0.0104468550613409</v>
      </c>
      <c r="BB24" s="1">
        <f t="shared" si="2"/>
        <v>0.024241998482592</v>
      </c>
      <c r="BC24" s="1">
        <f t="shared" si="3"/>
        <v>0.0118744348702111</v>
      </c>
      <c r="BD24" s="1">
        <f t="shared" ref="BD24:BV24" si="74">AD24/SUM(AD$2:AD$91)</f>
        <v>0.0149485691154466</v>
      </c>
      <c r="BE24" s="1">
        <f t="shared" si="74"/>
        <v>0.00574565753018515</v>
      </c>
      <c r="BF24" s="1">
        <f t="shared" si="74"/>
        <v>0.00664002534174809</v>
      </c>
      <c r="BG24" s="1">
        <f t="shared" si="74"/>
        <v>0.0141745227036813</v>
      </c>
      <c r="BH24" s="1">
        <f t="shared" si="74"/>
        <v>0.000537957004820922</v>
      </c>
      <c r="BI24" s="1">
        <f t="shared" si="74"/>
        <v>0.00720115774240232</v>
      </c>
      <c r="BJ24" s="1">
        <f t="shared" si="74"/>
        <v>0.00831506274198816</v>
      </c>
      <c r="BK24" s="1">
        <f t="shared" si="74"/>
        <v>0.0151016345748957</v>
      </c>
      <c r="BL24" s="1">
        <f t="shared" si="74"/>
        <v>0.015019723828435</v>
      </c>
      <c r="BM24" s="1">
        <f t="shared" si="74"/>
        <v>0.0132292964395777</v>
      </c>
      <c r="BN24" s="1">
        <f t="shared" si="74"/>
        <v>0.0169409844179413</v>
      </c>
      <c r="BO24" s="1">
        <f t="shared" si="74"/>
        <v>0.00985430531644269</v>
      </c>
      <c r="BP24" s="1">
        <f t="shared" si="74"/>
        <v>0.00208818958818959</v>
      </c>
      <c r="BQ24" s="1">
        <f t="shared" si="74"/>
        <v>0.00519204672842056</v>
      </c>
      <c r="BR24" s="1">
        <f t="shared" si="74"/>
        <v>0.00986965854522118</v>
      </c>
      <c r="BS24" s="1">
        <f t="shared" si="74"/>
        <v>0.00669586414071429</v>
      </c>
      <c r="BT24" s="1">
        <f t="shared" si="74"/>
        <v>0.0139375507451801</v>
      </c>
      <c r="BU24" s="1">
        <f t="shared" si="74"/>
        <v>0.00379219617158622</v>
      </c>
      <c r="BV24" s="1">
        <f t="shared" si="74"/>
        <v>0.00688491034996079</v>
      </c>
      <c r="CA24" s="1">
        <f t="shared" si="30"/>
        <v>-4.56145429693403</v>
      </c>
      <c r="CB24" s="1">
        <f t="shared" ref="CB24:CV24" si="75">IF(BB24=0,0,LN(BB24))</f>
        <v>-3.719668675528</v>
      </c>
      <c r="CC24" s="1">
        <f t="shared" si="75"/>
        <v>-4.43336752007083</v>
      </c>
      <c r="CD24" s="1">
        <f t="shared" si="75"/>
        <v>-4.20313969506743</v>
      </c>
      <c r="CE24" s="1">
        <f t="shared" si="75"/>
        <v>-5.15931092163094</v>
      </c>
      <c r="CF24" s="1">
        <f t="shared" si="75"/>
        <v>-5.01463949897275</v>
      </c>
      <c r="CG24" s="1">
        <f t="shared" si="75"/>
        <v>-4.2563091016332</v>
      </c>
      <c r="CH24" s="1">
        <f t="shared" si="75"/>
        <v>-7.52773191768574</v>
      </c>
      <c r="CI24" s="1">
        <f t="shared" si="75"/>
        <v>-4.93351346833079</v>
      </c>
      <c r="CJ24" s="1">
        <f t="shared" si="75"/>
        <v>-4.78968662072673</v>
      </c>
      <c r="CK24" s="1">
        <f t="shared" si="75"/>
        <v>-4.19295229102677</v>
      </c>
      <c r="CL24" s="1">
        <f t="shared" si="75"/>
        <v>-4.19839101973696</v>
      </c>
      <c r="CM24" s="1">
        <f t="shared" si="75"/>
        <v>-4.32532148143957</v>
      </c>
      <c r="CN24" s="1">
        <f t="shared" si="75"/>
        <v>-4.07801947940763</v>
      </c>
      <c r="CO24" s="1">
        <f t="shared" si="75"/>
        <v>-4.61984683132953</v>
      </c>
      <c r="CP24" s="1">
        <f t="shared" si="75"/>
        <v>-6.17145781414235</v>
      </c>
      <c r="CQ24" s="1">
        <f t="shared" si="75"/>
        <v>-5.26062729953985</v>
      </c>
      <c r="CR24" s="1">
        <f t="shared" si="75"/>
        <v>-4.61829002135086</v>
      </c>
      <c r="CS24" s="1">
        <f t="shared" si="75"/>
        <v>-5.00626523561933</v>
      </c>
      <c r="CT24" s="1">
        <f t="shared" si="75"/>
        <v>-4.27316858885865</v>
      </c>
      <c r="CU24" s="1">
        <f t="shared" si="75"/>
        <v>-5.57480996291422</v>
      </c>
      <c r="CV24" s="1">
        <f t="shared" si="75"/>
        <v>-4.97842316795226</v>
      </c>
    </row>
    <row r="25" spans="1:100">
      <c r="A25" s="1" t="s">
        <v>29</v>
      </c>
      <c r="B25" s="1">
        <v>2023</v>
      </c>
      <c r="C25" s="1">
        <v>5756.35</v>
      </c>
      <c r="D25" s="1">
        <v>146771</v>
      </c>
      <c r="E25" s="1">
        <v>7.1</v>
      </c>
      <c r="F25" s="1">
        <v>39.61</v>
      </c>
      <c r="G25" s="1">
        <v>49.81</v>
      </c>
      <c r="H25" s="1">
        <v>268.99</v>
      </c>
      <c r="I25" s="1">
        <f t="shared" si="38"/>
        <v>6855</v>
      </c>
      <c r="J25" s="1">
        <v>0.54</v>
      </c>
      <c r="K25" s="1">
        <v>63.25</v>
      </c>
      <c r="L25" s="1">
        <v>2156.09</v>
      </c>
      <c r="M25" s="1">
        <f t="shared" si="0"/>
        <v>54946</v>
      </c>
      <c r="N25" s="1">
        <v>46448</v>
      </c>
      <c r="O25" s="1">
        <v>24479</v>
      </c>
      <c r="P25" s="1">
        <v>156153</v>
      </c>
      <c r="Q25" s="1">
        <v>810.86</v>
      </c>
      <c r="R25" s="1">
        <v>19.51</v>
      </c>
      <c r="S25" s="1">
        <v>91.43</v>
      </c>
      <c r="T25" s="1">
        <v>11086</v>
      </c>
      <c r="U25" s="3">
        <v>392.4</v>
      </c>
      <c r="V25" s="1">
        <v>65.32</v>
      </c>
      <c r="W25" s="1">
        <v>8.19</v>
      </c>
      <c r="X25" s="3">
        <v>23.4</v>
      </c>
      <c r="Y25" s="3"/>
      <c r="Z25" s="3"/>
      <c r="AA25" s="1">
        <f t="shared" si="6"/>
        <v>0.0955</v>
      </c>
      <c r="AB25" s="1">
        <f t="shared" si="7"/>
        <v>0.9124</v>
      </c>
      <c r="AC25" s="1">
        <f t="shared" si="8"/>
        <v>0.6353</v>
      </c>
      <c r="AD25" s="1">
        <f t="shared" si="9"/>
        <v>0.6544</v>
      </c>
      <c r="AE25" s="1">
        <f t="shared" si="10"/>
        <v>0.3395</v>
      </c>
      <c r="AF25" s="1">
        <f t="shared" si="11"/>
        <v>0.0674</v>
      </c>
      <c r="AG25" s="1">
        <f t="shared" si="12"/>
        <v>0.5188</v>
      </c>
      <c r="AH25" s="1">
        <f t="shared" si="13"/>
        <v>0.0043</v>
      </c>
      <c r="AI25" s="1">
        <f t="shared" si="14"/>
        <v>0.0638</v>
      </c>
      <c r="AJ25" s="1">
        <f t="shared" si="15"/>
        <v>0.0787</v>
      </c>
      <c r="AK25" s="1">
        <f t="shared" si="16"/>
        <v>0.8743</v>
      </c>
      <c r="AL25" s="1">
        <f t="shared" si="17"/>
        <v>0.4698</v>
      </c>
      <c r="AM25" s="1">
        <f t="shared" si="18"/>
        <v>0.5907</v>
      </c>
      <c r="AN25" s="1">
        <f t="shared" si="19"/>
        <v>0.4394</v>
      </c>
      <c r="AO25" s="1">
        <f t="shared" si="20"/>
        <v>0.0891</v>
      </c>
      <c r="AP25" s="1">
        <f t="shared" si="21"/>
        <v>0.0175</v>
      </c>
      <c r="AQ25" s="1">
        <f t="shared" si="22"/>
        <v>0.0194</v>
      </c>
      <c r="AR25" s="1">
        <f t="shared" si="23"/>
        <v>0.1256</v>
      </c>
      <c r="AS25" s="1">
        <f t="shared" si="24"/>
        <v>0.0662</v>
      </c>
      <c r="AT25" s="1">
        <f t="shared" si="25"/>
        <v>0.5268</v>
      </c>
      <c r="AU25" s="1">
        <f t="shared" si="26"/>
        <v>0.038</v>
      </c>
      <c r="AV25" s="1">
        <f t="shared" si="27"/>
        <v>0.0525</v>
      </c>
      <c r="AW25" s="4">
        <f t="shared" si="28"/>
        <v>0.097</v>
      </c>
      <c r="BA25" s="1">
        <f t="shared" si="39"/>
        <v>0.0109394151135752</v>
      </c>
      <c r="BB25" s="1">
        <f t="shared" si="2"/>
        <v>0.0256385758844522</v>
      </c>
      <c r="BC25" s="1">
        <f t="shared" si="3"/>
        <v>0.0131151399044595</v>
      </c>
      <c r="BD25" s="1">
        <f t="shared" ref="BD25:BV25" si="76">AD25/SUM(AD$2:AD$91)</f>
        <v>0.0118258506155081</v>
      </c>
      <c r="BE25" s="1">
        <f t="shared" si="76"/>
        <v>0.0115696959163574</v>
      </c>
      <c r="BF25" s="1">
        <f t="shared" si="76"/>
        <v>0.00821170106484076</v>
      </c>
      <c r="BG25" s="1">
        <f t="shared" si="76"/>
        <v>0.018379761006423</v>
      </c>
      <c r="BH25" s="1">
        <f t="shared" si="76"/>
        <v>0.000889698123357678</v>
      </c>
      <c r="BI25" s="1">
        <f t="shared" si="76"/>
        <v>0.00738639652677279</v>
      </c>
      <c r="BJ25" s="1">
        <f t="shared" si="76"/>
        <v>0.00917805663105846</v>
      </c>
      <c r="BK25" s="1">
        <f t="shared" si="76"/>
        <v>0.0167342954484554</v>
      </c>
      <c r="BL25" s="1">
        <f t="shared" si="76"/>
        <v>0.0178368712199159</v>
      </c>
      <c r="BM25" s="1">
        <f t="shared" si="76"/>
        <v>0.0154927545734706</v>
      </c>
      <c r="BN25" s="1">
        <f t="shared" si="76"/>
        <v>0.0190770593368616</v>
      </c>
      <c r="BO25" s="1">
        <f t="shared" si="76"/>
        <v>0.0114474394223604</v>
      </c>
      <c r="BP25" s="1">
        <f t="shared" si="76"/>
        <v>0.00283281533281533</v>
      </c>
      <c r="BQ25" s="1">
        <f t="shared" si="76"/>
        <v>0.00572305150746357</v>
      </c>
      <c r="BR25" s="1">
        <f t="shared" si="76"/>
        <v>0.0138971873686074</v>
      </c>
      <c r="BS25" s="1">
        <f t="shared" si="76"/>
        <v>0.00669586414071429</v>
      </c>
      <c r="BT25" s="1">
        <f t="shared" si="76"/>
        <v>0.0144990160595594</v>
      </c>
      <c r="BU25" s="1">
        <f t="shared" si="76"/>
        <v>0.00404784984607518</v>
      </c>
      <c r="BV25" s="1">
        <f t="shared" si="76"/>
        <v>0.00697794967901432</v>
      </c>
      <c r="CA25" s="1">
        <f t="shared" si="30"/>
        <v>-4.51538294652763</v>
      </c>
      <c r="CB25" s="1">
        <f t="shared" ref="CB25:CV25" si="77">IF(BB25=0,0,LN(BB25))</f>
        <v>-3.6636571912003</v>
      </c>
      <c r="CC25" s="1">
        <f t="shared" si="77"/>
        <v>-4.33398799820518</v>
      </c>
      <c r="CD25" s="1">
        <f t="shared" si="77"/>
        <v>-4.43746741353305</v>
      </c>
      <c r="CE25" s="1">
        <f t="shared" si="77"/>
        <v>-4.45936602019994</v>
      </c>
      <c r="CF25" s="1">
        <f t="shared" si="77"/>
        <v>-4.80219518272369</v>
      </c>
      <c r="CG25" s="1">
        <f t="shared" si="77"/>
        <v>-3.9965051650541</v>
      </c>
      <c r="CH25" s="1">
        <f t="shared" si="77"/>
        <v>-7.02462834001366</v>
      </c>
      <c r="CI25" s="1">
        <f t="shared" si="77"/>
        <v>-4.90811527772518</v>
      </c>
      <c r="CJ25" s="1">
        <f t="shared" si="77"/>
        <v>-4.69093979272362</v>
      </c>
      <c r="CK25" s="1">
        <f t="shared" si="77"/>
        <v>-4.0902950456858</v>
      </c>
      <c r="CL25" s="1">
        <f t="shared" si="77"/>
        <v>-4.02648754726071</v>
      </c>
      <c r="CM25" s="1">
        <f t="shared" si="77"/>
        <v>-4.16738281121715</v>
      </c>
      <c r="CN25" s="1">
        <f t="shared" si="77"/>
        <v>-3.95926874764613</v>
      </c>
      <c r="CO25" s="1">
        <f t="shared" si="77"/>
        <v>-4.46998920522598</v>
      </c>
      <c r="CP25" s="1">
        <f t="shared" si="77"/>
        <v>-5.8664842445805</v>
      </c>
      <c r="CQ25" s="1">
        <f t="shared" si="77"/>
        <v>-5.16325313551467</v>
      </c>
      <c r="CR25" s="1">
        <f t="shared" si="77"/>
        <v>-4.27606880690273</v>
      </c>
      <c r="CS25" s="1">
        <f t="shared" si="77"/>
        <v>-5.00626523561933</v>
      </c>
      <c r="CT25" s="1">
        <f t="shared" si="77"/>
        <v>-4.23367448981949</v>
      </c>
      <c r="CU25" s="1">
        <f t="shared" si="77"/>
        <v>-5.50956944104582</v>
      </c>
      <c r="CV25" s="1">
        <f t="shared" si="77"/>
        <v>-4.96500014762012</v>
      </c>
    </row>
    <row r="26" spans="1:100">
      <c r="A26" s="1" t="s">
        <v>29</v>
      </c>
      <c r="B26" s="1">
        <v>2024</v>
      </c>
      <c r="C26" s="1">
        <v>6191.12</v>
      </c>
      <c r="D26" s="1">
        <v>157725</v>
      </c>
      <c r="E26" s="1">
        <v>6.5</v>
      </c>
      <c r="F26" s="1">
        <v>40.69</v>
      </c>
      <c r="G26" s="1">
        <v>48.22</v>
      </c>
      <c r="H26" s="1">
        <v>294.07</v>
      </c>
      <c r="I26" s="1">
        <f t="shared" si="38"/>
        <v>7489</v>
      </c>
      <c r="J26" s="1">
        <v>0.61</v>
      </c>
      <c r="K26" s="1">
        <v>69.94</v>
      </c>
      <c r="L26" s="1">
        <v>2275.94</v>
      </c>
      <c r="M26" s="1">
        <f t="shared" si="0"/>
        <v>57964</v>
      </c>
      <c r="N26" s="1">
        <v>48543</v>
      </c>
      <c r="O26" s="1">
        <v>25982</v>
      </c>
      <c r="P26" s="1">
        <v>172257</v>
      </c>
      <c r="Q26" s="1">
        <v>853.03</v>
      </c>
      <c r="R26" s="3">
        <v>22.6</v>
      </c>
      <c r="S26" s="1">
        <v>105.05</v>
      </c>
      <c r="T26" s="1">
        <v>11896</v>
      </c>
      <c r="U26" s="1">
        <v>392.65</v>
      </c>
      <c r="V26" s="1">
        <v>66.27</v>
      </c>
      <c r="W26" s="1">
        <v>8.74</v>
      </c>
      <c r="X26" s="1">
        <v>20.89</v>
      </c>
      <c r="AA26" s="1">
        <f t="shared" si="6"/>
        <v>0.1027</v>
      </c>
      <c r="AB26" s="1">
        <f t="shared" si="7"/>
        <v>1</v>
      </c>
      <c r="AC26" s="1">
        <f t="shared" si="8"/>
        <v>0.6128</v>
      </c>
      <c r="AD26" s="1">
        <f t="shared" si="9"/>
        <v>0.6959</v>
      </c>
      <c r="AE26" s="1">
        <f t="shared" si="10"/>
        <v>0.2805</v>
      </c>
      <c r="AF26" s="1">
        <f t="shared" si="11"/>
        <v>0.0738</v>
      </c>
      <c r="AG26" s="1">
        <f t="shared" si="12"/>
        <v>0.5773</v>
      </c>
      <c r="AH26" s="1">
        <f t="shared" si="13"/>
        <v>0.0049</v>
      </c>
      <c r="AI26" s="1">
        <f t="shared" si="14"/>
        <v>0.0705</v>
      </c>
      <c r="AJ26" s="1">
        <f t="shared" si="15"/>
        <v>0.0831</v>
      </c>
      <c r="AK26" s="1">
        <f t="shared" si="16"/>
        <v>0.9246</v>
      </c>
      <c r="AL26" s="1">
        <f t="shared" si="17"/>
        <v>0.5319</v>
      </c>
      <c r="AM26" s="1">
        <f t="shared" si="18"/>
        <v>0.6587</v>
      </c>
      <c r="AN26" s="1">
        <f t="shared" si="19"/>
        <v>0.5048</v>
      </c>
      <c r="AO26" s="1">
        <f t="shared" si="20"/>
        <v>0.0938</v>
      </c>
      <c r="AP26" s="1">
        <f t="shared" si="21"/>
        <v>0.0203</v>
      </c>
      <c r="AQ26" s="1">
        <f t="shared" si="22"/>
        <v>0.0223</v>
      </c>
      <c r="AR26" s="1">
        <f t="shared" si="23"/>
        <v>0.1349</v>
      </c>
      <c r="AS26" s="1">
        <f t="shared" si="24"/>
        <v>0.0663</v>
      </c>
      <c r="AT26" s="1">
        <f t="shared" si="25"/>
        <v>0.5497</v>
      </c>
      <c r="AU26" s="1">
        <f t="shared" si="26"/>
        <v>0.0405</v>
      </c>
      <c r="AV26" s="1">
        <f t="shared" si="27"/>
        <v>0.0467</v>
      </c>
      <c r="AW26" s="4">
        <f t="shared" si="28"/>
        <v>0.103</v>
      </c>
      <c r="BA26" s="1">
        <f t="shared" si="39"/>
        <v>0.0117641668289442</v>
      </c>
      <c r="BB26" s="1">
        <f t="shared" si="2"/>
        <v>0.0281001489307893</v>
      </c>
      <c r="BC26" s="1">
        <f t="shared" si="3"/>
        <v>0.0126506496670121</v>
      </c>
      <c r="BD26" s="1">
        <f t="shared" ref="BD26:BV26" si="78">AD26/SUM(AD$2:AD$91)</f>
        <v>0.0125758090515465</v>
      </c>
      <c r="BE26" s="1">
        <f t="shared" si="78"/>
        <v>0.00955905656712298</v>
      </c>
      <c r="BF26" s="1">
        <f t="shared" si="78"/>
        <v>0.00899144716001852</v>
      </c>
      <c r="BG26" s="1">
        <f t="shared" si="78"/>
        <v>0.0204522668253816</v>
      </c>
      <c r="BH26" s="1">
        <f t="shared" si="78"/>
        <v>0.00101384204754712</v>
      </c>
      <c r="BI26" s="1">
        <f t="shared" si="78"/>
        <v>0.00816208393632417</v>
      </c>
      <c r="BJ26" s="1">
        <f t="shared" si="78"/>
        <v>0.00969118813266782</v>
      </c>
      <c r="BK26" s="1">
        <f t="shared" si="78"/>
        <v>0.0176970485778816</v>
      </c>
      <c r="BL26" s="1">
        <f t="shared" si="78"/>
        <v>0.0201946185650773</v>
      </c>
      <c r="BM26" s="1">
        <f t="shared" si="78"/>
        <v>0.0172762441807095</v>
      </c>
      <c r="BN26" s="1">
        <f t="shared" si="78"/>
        <v>0.0219164759973777</v>
      </c>
      <c r="BO26" s="1">
        <f t="shared" si="78"/>
        <v>0.012051288639926</v>
      </c>
      <c r="BP26" s="1">
        <f t="shared" si="78"/>
        <v>0.00328606578606579</v>
      </c>
      <c r="BQ26" s="1">
        <f t="shared" si="78"/>
        <v>0.00657855920703286</v>
      </c>
      <c r="BR26" s="1">
        <f t="shared" si="78"/>
        <v>0.0149261988537033</v>
      </c>
      <c r="BS26" s="1">
        <f t="shared" si="78"/>
        <v>0.00670597873911416</v>
      </c>
      <c r="BT26" s="1">
        <f t="shared" si="78"/>
        <v>0.0151292883977596</v>
      </c>
      <c r="BU26" s="1">
        <f t="shared" si="78"/>
        <v>0.00431415575700118</v>
      </c>
      <c r="BV26" s="1">
        <f t="shared" si="78"/>
        <v>0.00620705238114226</v>
      </c>
      <c r="CA26" s="1">
        <f t="shared" si="30"/>
        <v>-4.44269707707981</v>
      </c>
      <c r="CB26" s="1">
        <f t="shared" ref="CB26:CV26" si="79">IF(BB26=0,0,LN(BB26))</f>
        <v>-3.57198040262839</v>
      </c>
      <c r="CC26" s="1">
        <f t="shared" si="79"/>
        <v>-4.37004670805128</v>
      </c>
      <c r="CD26" s="1">
        <f t="shared" si="79"/>
        <v>-4.37598022697079</v>
      </c>
      <c r="CE26" s="1">
        <f t="shared" si="79"/>
        <v>-4.65026624223594</v>
      </c>
      <c r="CF26" s="1">
        <f t="shared" si="79"/>
        <v>-4.71148146903552</v>
      </c>
      <c r="CG26" s="1">
        <f t="shared" si="79"/>
        <v>-3.8896615554295</v>
      </c>
      <c r="CH26" s="1">
        <f t="shared" si="79"/>
        <v>-6.89400815759659</v>
      </c>
      <c r="CI26" s="1">
        <f t="shared" si="79"/>
        <v>-4.8082557582577</v>
      </c>
      <c r="CJ26" s="1">
        <f t="shared" si="79"/>
        <v>-4.63653824628558</v>
      </c>
      <c r="CK26" s="1">
        <f t="shared" si="79"/>
        <v>-4.03435740031852</v>
      </c>
      <c r="CL26" s="1">
        <f t="shared" si="79"/>
        <v>-3.90233911773725</v>
      </c>
      <c r="CM26" s="1">
        <f t="shared" si="79"/>
        <v>-4.05842288988369</v>
      </c>
      <c r="CN26" s="1">
        <f t="shared" si="79"/>
        <v>-3.82051659636964</v>
      </c>
      <c r="CO26" s="1">
        <f t="shared" si="79"/>
        <v>-4.41858368369056</v>
      </c>
      <c r="CP26" s="1">
        <f t="shared" si="79"/>
        <v>-5.71806423946223</v>
      </c>
      <c r="CQ26" s="1">
        <f t="shared" si="79"/>
        <v>-5.02393952311788</v>
      </c>
      <c r="CR26" s="1">
        <f t="shared" si="79"/>
        <v>-4.20463729772312</v>
      </c>
      <c r="CS26" s="1">
        <f t="shared" si="79"/>
        <v>-5.00475580137048</v>
      </c>
      <c r="CT26" s="1">
        <f t="shared" si="79"/>
        <v>-4.191122784822</v>
      </c>
      <c r="CU26" s="1">
        <f t="shared" si="79"/>
        <v>-5.44585362665971</v>
      </c>
      <c r="CV26" s="1">
        <f t="shared" si="79"/>
        <v>-5.08206915254285</v>
      </c>
    </row>
    <row r="27" spans="1:100">
      <c r="A27" s="1" t="s">
        <v>30</v>
      </c>
      <c r="B27" s="1">
        <v>2020</v>
      </c>
      <c r="C27" s="1">
        <v>4601.97</v>
      </c>
      <c r="D27" s="1">
        <v>84123</v>
      </c>
      <c r="E27" s="1">
        <v>-5.3</v>
      </c>
      <c r="F27" s="1">
        <v>45.72</v>
      </c>
      <c r="G27" s="1">
        <v>43.13</v>
      </c>
      <c r="H27" s="3">
        <v>160</v>
      </c>
      <c r="I27" s="1">
        <f t="shared" si="38"/>
        <v>3041</v>
      </c>
      <c r="J27" s="1">
        <v>8.31</v>
      </c>
      <c r="K27" s="1">
        <v>31.64</v>
      </c>
      <c r="L27" s="3">
        <v>1685.2</v>
      </c>
      <c r="M27" s="1">
        <f t="shared" si="0"/>
        <v>32032</v>
      </c>
      <c r="N27" s="1">
        <v>37707</v>
      </c>
      <c r="O27" s="1">
        <v>18422</v>
      </c>
      <c r="P27" s="1">
        <v>81500</v>
      </c>
      <c r="Q27" s="1">
        <v>439.47</v>
      </c>
      <c r="R27" s="1">
        <v>15.47</v>
      </c>
      <c r="S27" s="1">
        <v>123.01</v>
      </c>
      <c r="T27" s="1">
        <v>4074</v>
      </c>
      <c r="U27" s="3">
        <v>526.1</v>
      </c>
      <c r="V27" s="1">
        <v>61.66</v>
      </c>
      <c r="W27" s="1">
        <v>7.24</v>
      </c>
      <c r="X27" s="3">
        <v>20.5</v>
      </c>
      <c r="Y27" s="3"/>
      <c r="Z27" s="3"/>
      <c r="AA27" s="1">
        <f t="shared" si="6"/>
        <v>0.0762</v>
      </c>
      <c r="AB27" s="1">
        <f t="shared" si="7"/>
        <v>0.4115</v>
      </c>
      <c r="AC27" s="1">
        <f t="shared" si="8"/>
        <v>0.1692</v>
      </c>
      <c r="AD27" s="1">
        <f t="shared" si="9"/>
        <v>0.889</v>
      </c>
      <c r="AE27" s="1">
        <f t="shared" si="10"/>
        <v>0.0914</v>
      </c>
      <c r="AF27" s="1">
        <f t="shared" si="11"/>
        <v>0.0397</v>
      </c>
      <c r="AG27" s="1">
        <f t="shared" si="12"/>
        <v>0.1672</v>
      </c>
      <c r="AH27" s="1">
        <f t="shared" si="13"/>
        <v>0.0667</v>
      </c>
      <c r="AI27" s="1">
        <f t="shared" si="14"/>
        <v>0.0319</v>
      </c>
      <c r="AJ27" s="1">
        <f t="shared" si="15"/>
        <v>0.0614</v>
      </c>
      <c r="AK27" s="1">
        <f t="shared" si="16"/>
        <v>0.4926</v>
      </c>
      <c r="AL27" s="1">
        <f t="shared" si="17"/>
        <v>0.2109</v>
      </c>
      <c r="AM27" s="1">
        <f t="shared" si="18"/>
        <v>0.3168</v>
      </c>
      <c r="AN27" s="1">
        <f t="shared" si="19"/>
        <v>0.1358</v>
      </c>
      <c r="AO27" s="1">
        <f t="shared" si="20"/>
        <v>0.0482</v>
      </c>
      <c r="AP27" s="1">
        <f t="shared" si="21"/>
        <v>0.0139</v>
      </c>
      <c r="AQ27" s="1">
        <f t="shared" si="22"/>
        <v>0.0261</v>
      </c>
      <c r="AR27" s="1">
        <f t="shared" si="23"/>
        <v>0.0452</v>
      </c>
      <c r="AS27" s="1">
        <f t="shared" si="24"/>
        <v>0.0891</v>
      </c>
      <c r="AT27" s="1">
        <f t="shared" si="25"/>
        <v>0.4388</v>
      </c>
      <c r="AU27" s="1">
        <f t="shared" si="26"/>
        <v>0.0336</v>
      </c>
      <c r="AV27" s="1">
        <f t="shared" si="27"/>
        <v>0.0458</v>
      </c>
      <c r="AW27" s="4">
        <f t="shared" si="28"/>
        <v>0.066</v>
      </c>
      <c r="BA27" s="1">
        <f t="shared" si="39"/>
        <v>0.00872862232098879</v>
      </c>
      <c r="BB27" s="1">
        <f t="shared" si="2"/>
        <v>0.0115632112850198</v>
      </c>
      <c r="BC27" s="1">
        <f t="shared" si="3"/>
        <v>0.00349296658560452</v>
      </c>
      <c r="BD27" s="1">
        <f t="shared" ref="BD27:BV27" si="80">AD27/SUM(AD$2:AD$91)</f>
        <v>0.0160653746900774</v>
      </c>
      <c r="BE27" s="1">
        <f t="shared" si="80"/>
        <v>0.00311478705966146</v>
      </c>
      <c r="BF27" s="1">
        <f t="shared" si="80"/>
        <v>0.00483686249664953</v>
      </c>
      <c r="BG27" s="1">
        <f t="shared" si="80"/>
        <v>0.00592346962273308</v>
      </c>
      <c r="BH27" s="1">
        <f t="shared" si="80"/>
        <v>0.0138006662390598</v>
      </c>
      <c r="BI27" s="1">
        <f t="shared" si="80"/>
        <v>0.0036931982633864</v>
      </c>
      <c r="BJ27" s="1">
        <f t="shared" si="80"/>
        <v>0.00716051686336708</v>
      </c>
      <c r="BK27" s="1">
        <f t="shared" si="80"/>
        <v>0.0094284729931478</v>
      </c>
      <c r="BL27" s="1">
        <f t="shared" si="80"/>
        <v>0.00800722890651399</v>
      </c>
      <c r="BM27" s="1">
        <f t="shared" si="80"/>
        <v>0.00830896334666579</v>
      </c>
      <c r="BN27" s="1">
        <f t="shared" si="80"/>
        <v>0.00589591410547521</v>
      </c>
      <c r="BO27" s="1">
        <f t="shared" si="80"/>
        <v>0.0061926664439705</v>
      </c>
      <c r="BP27" s="1">
        <f t="shared" si="80"/>
        <v>0.00225006475006475</v>
      </c>
      <c r="BQ27" s="1">
        <f t="shared" si="80"/>
        <v>0.00769956929612367</v>
      </c>
      <c r="BR27" s="1">
        <f t="shared" si="80"/>
        <v>0.00500121711035871</v>
      </c>
      <c r="BS27" s="1">
        <f t="shared" si="80"/>
        <v>0.00901210717428465</v>
      </c>
      <c r="BT27" s="1">
        <f t="shared" si="80"/>
        <v>0.0120770088210604</v>
      </c>
      <c r="BU27" s="1">
        <f t="shared" si="80"/>
        <v>0.00357915144284542</v>
      </c>
      <c r="BV27" s="1">
        <f t="shared" si="80"/>
        <v>0.00608743038664487</v>
      </c>
      <c r="CA27" s="1">
        <f t="shared" si="30"/>
        <v>-4.74114773132172</v>
      </c>
      <c r="CB27" s="1">
        <f t="shared" ref="CB27:CV27" si="81">IF(BB27=0,0,LN(BB27))</f>
        <v>-4.4599266614934</v>
      </c>
      <c r="CC27" s="1">
        <f t="shared" si="81"/>
        <v>-5.65700387930554</v>
      </c>
      <c r="CD27" s="1">
        <f t="shared" si="81"/>
        <v>-4.13108896330769</v>
      </c>
      <c r="CE27" s="1">
        <f t="shared" si="81"/>
        <v>-5.77159448873859</v>
      </c>
      <c r="CF27" s="1">
        <f t="shared" si="81"/>
        <v>-5.3314890129488</v>
      </c>
      <c r="CG27" s="1">
        <f t="shared" si="81"/>
        <v>-5.12883291684579</v>
      </c>
      <c r="CH27" s="1">
        <f t="shared" si="81"/>
        <v>-4.28303840979159</v>
      </c>
      <c r="CI27" s="1">
        <f t="shared" si="81"/>
        <v>-5.60126245828513</v>
      </c>
      <c r="CJ27" s="1">
        <f t="shared" si="81"/>
        <v>-4.93917311299388</v>
      </c>
      <c r="CK27" s="1">
        <f t="shared" si="81"/>
        <v>-4.66402112618621</v>
      </c>
      <c r="CL27" s="1">
        <f t="shared" si="81"/>
        <v>-4.82741053200079</v>
      </c>
      <c r="CM27" s="1">
        <f t="shared" si="81"/>
        <v>-4.79042042559007</v>
      </c>
      <c r="CN27" s="1">
        <f t="shared" si="81"/>
        <v>-5.13349569247205</v>
      </c>
      <c r="CO27" s="1">
        <f t="shared" si="81"/>
        <v>-5.08438951864619</v>
      </c>
      <c r="CP27" s="1">
        <f t="shared" si="81"/>
        <v>-6.09679628537333</v>
      </c>
      <c r="CQ27" s="1">
        <f t="shared" si="81"/>
        <v>-4.86659088725531</v>
      </c>
      <c r="CR27" s="1">
        <f t="shared" si="81"/>
        <v>-5.29807397409864</v>
      </c>
      <c r="CS27" s="1">
        <f t="shared" si="81"/>
        <v>-4.70918636408553</v>
      </c>
      <c r="CT27" s="1">
        <f t="shared" si="81"/>
        <v>-4.41645173128754</v>
      </c>
      <c r="CU27" s="1">
        <f t="shared" si="81"/>
        <v>-5.63262953380305</v>
      </c>
      <c r="CV27" s="1">
        <f t="shared" si="81"/>
        <v>-5.10152922609756</v>
      </c>
    </row>
    <row r="28" spans="1:100">
      <c r="A28" s="1" t="s">
        <v>30</v>
      </c>
      <c r="B28" s="1">
        <v>2021</v>
      </c>
      <c r="C28" s="1">
        <v>5309.43</v>
      </c>
      <c r="D28" s="1">
        <v>100824</v>
      </c>
      <c r="E28" s="1">
        <v>14.7</v>
      </c>
      <c r="F28" s="1">
        <v>44.44</v>
      </c>
      <c r="G28" s="1">
        <v>45.12</v>
      </c>
      <c r="H28" s="1">
        <v>211.34</v>
      </c>
      <c r="I28" s="1">
        <f t="shared" si="38"/>
        <v>4009</v>
      </c>
      <c r="J28" s="1">
        <v>9.78</v>
      </c>
      <c r="K28" s="1">
        <v>43.88</v>
      </c>
      <c r="L28" s="1">
        <v>2146.66</v>
      </c>
      <c r="M28" s="1">
        <f t="shared" si="0"/>
        <v>40725</v>
      </c>
      <c r="N28" s="1">
        <v>41214</v>
      </c>
      <c r="O28" s="1">
        <v>20715</v>
      </c>
      <c r="P28" s="1">
        <v>88248</v>
      </c>
      <c r="Q28" s="1">
        <v>568.78</v>
      </c>
      <c r="R28" s="1">
        <v>16.27</v>
      </c>
      <c r="S28" s="1">
        <v>131.04</v>
      </c>
      <c r="T28" s="1">
        <v>6338</v>
      </c>
      <c r="U28" s="1">
        <v>527.11</v>
      </c>
      <c r="V28" s="1">
        <v>62.46</v>
      </c>
      <c r="W28" s="3">
        <v>7.7</v>
      </c>
      <c r="X28" s="1">
        <v>11.41</v>
      </c>
      <c r="AA28" s="1">
        <f t="shared" si="6"/>
        <v>0.088</v>
      </c>
      <c r="AB28" s="1">
        <f t="shared" si="7"/>
        <v>0.5451</v>
      </c>
      <c r="AC28" s="1">
        <f t="shared" si="8"/>
        <v>0.9211</v>
      </c>
      <c r="AD28" s="1">
        <f t="shared" si="9"/>
        <v>0.8399</v>
      </c>
      <c r="AE28" s="1">
        <f t="shared" si="10"/>
        <v>0.1653</v>
      </c>
      <c r="AF28" s="1">
        <f t="shared" si="11"/>
        <v>0.0528</v>
      </c>
      <c r="AG28" s="1">
        <f t="shared" si="12"/>
        <v>0.2564</v>
      </c>
      <c r="AH28" s="1">
        <f t="shared" si="13"/>
        <v>0.0785</v>
      </c>
      <c r="AI28" s="1">
        <f t="shared" si="14"/>
        <v>0.0442</v>
      </c>
      <c r="AJ28" s="1">
        <f t="shared" si="15"/>
        <v>0.0784</v>
      </c>
      <c r="AK28" s="1">
        <f t="shared" si="16"/>
        <v>0.6374</v>
      </c>
      <c r="AL28" s="1">
        <f t="shared" si="17"/>
        <v>0.3148</v>
      </c>
      <c r="AM28" s="1">
        <f t="shared" si="18"/>
        <v>0.4205</v>
      </c>
      <c r="AN28" s="1">
        <f t="shared" si="19"/>
        <v>0.1632</v>
      </c>
      <c r="AO28" s="1">
        <f t="shared" si="20"/>
        <v>0.0625</v>
      </c>
      <c r="AP28" s="1">
        <f t="shared" si="21"/>
        <v>0.0146</v>
      </c>
      <c r="AQ28" s="1">
        <f t="shared" si="22"/>
        <v>0.0279</v>
      </c>
      <c r="AR28" s="1">
        <f t="shared" si="23"/>
        <v>0.0712</v>
      </c>
      <c r="AS28" s="1">
        <f t="shared" si="24"/>
        <v>0.0893</v>
      </c>
      <c r="AT28" s="1">
        <f t="shared" si="25"/>
        <v>0.458</v>
      </c>
      <c r="AU28" s="1">
        <f t="shared" si="26"/>
        <v>0.0357</v>
      </c>
      <c r="AV28" s="1">
        <f t="shared" si="27"/>
        <v>0.0249</v>
      </c>
      <c r="AW28" s="4">
        <f t="shared" si="28"/>
        <v>0.0823</v>
      </c>
      <c r="BA28" s="1">
        <f t="shared" si="39"/>
        <v>0.0100802987433991</v>
      </c>
      <c r="BB28" s="1">
        <f t="shared" si="2"/>
        <v>0.0153173911821733</v>
      </c>
      <c r="BC28" s="1">
        <f t="shared" si="3"/>
        <v>0.0190151981205693</v>
      </c>
      <c r="BD28" s="1">
        <f t="shared" ref="BD28:BV28" si="82">AD28/SUM(AD$2:AD$91)</f>
        <v>0.015178074468162</v>
      </c>
      <c r="BE28" s="1">
        <f t="shared" si="82"/>
        <v>0.00563319804116018</v>
      </c>
      <c r="BF28" s="1">
        <f t="shared" si="82"/>
        <v>0.0064329052852165</v>
      </c>
      <c r="BG28" s="1">
        <f t="shared" si="82"/>
        <v>0.00908359815352131</v>
      </c>
      <c r="BH28" s="1">
        <f t="shared" si="82"/>
        <v>0.0162421634147855</v>
      </c>
      <c r="BI28" s="1">
        <f t="shared" si="82"/>
        <v>0.00511722141823444</v>
      </c>
      <c r="BJ28" s="1">
        <f t="shared" si="82"/>
        <v>0.00914307039231236</v>
      </c>
      <c r="BK28" s="1">
        <f t="shared" si="82"/>
        <v>0.0121999770317345</v>
      </c>
      <c r="BL28" s="1">
        <f t="shared" si="82"/>
        <v>0.0119519945935069</v>
      </c>
      <c r="BM28" s="1">
        <f t="shared" si="82"/>
        <v>0.0110287849977051</v>
      </c>
      <c r="BN28" s="1">
        <f t="shared" si="82"/>
        <v>0.00708551680422352</v>
      </c>
      <c r="BO28" s="1">
        <f t="shared" si="82"/>
        <v>0.00802990980805304</v>
      </c>
      <c r="BP28" s="1">
        <f t="shared" si="82"/>
        <v>0.00236337736337736</v>
      </c>
      <c r="BQ28" s="1">
        <f t="shared" si="82"/>
        <v>0.00823057407516668</v>
      </c>
      <c r="BR28" s="1">
        <f t="shared" si="82"/>
        <v>0.00787802341277744</v>
      </c>
      <c r="BS28" s="1">
        <f t="shared" si="82"/>
        <v>0.00903233637108439</v>
      </c>
      <c r="BT28" s="1">
        <f t="shared" si="82"/>
        <v>0.0126054467640057</v>
      </c>
      <c r="BU28" s="1">
        <f t="shared" si="82"/>
        <v>0.00380284840802326</v>
      </c>
      <c r="BV28" s="1">
        <f t="shared" si="82"/>
        <v>0.00330954184776108</v>
      </c>
      <c r="CA28" s="1">
        <f t="shared" si="30"/>
        <v>-4.59717237953611</v>
      </c>
      <c r="CB28" s="1">
        <f t="shared" ref="CB28:CV28" si="83">IF(BB28=0,0,LN(BB28))</f>
        <v>-4.17876641754029</v>
      </c>
      <c r="CC28" s="1">
        <f t="shared" si="83"/>
        <v>-3.96251671848347</v>
      </c>
      <c r="CD28" s="1">
        <f t="shared" si="83"/>
        <v>-4.18790336169001</v>
      </c>
      <c r="CE28" s="1">
        <f t="shared" si="83"/>
        <v>-5.17907796237172</v>
      </c>
      <c r="CF28" s="1">
        <f t="shared" si="83"/>
        <v>-5.04632900992973</v>
      </c>
      <c r="CG28" s="1">
        <f t="shared" si="83"/>
        <v>-4.70128489244987</v>
      </c>
      <c r="CH28" s="1">
        <f t="shared" si="83"/>
        <v>-4.12014473792481</v>
      </c>
      <c r="CI28" s="1">
        <f t="shared" si="83"/>
        <v>-5.27514367899227</v>
      </c>
      <c r="CJ28" s="1">
        <f t="shared" si="83"/>
        <v>-4.69475902079062</v>
      </c>
      <c r="CK28" s="1">
        <f t="shared" si="83"/>
        <v>-4.40632120988941</v>
      </c>
      <c r="CL28" s="1">
        <f t="shared" si="83"/>
        <v>-4.42685710294227</v>
      </c>
      <c r="CM28" s="1">
        <f t="shared" si="83"/>
        <v>-4.50724660611734</v>
      </c>
      <c r="CN28" s="1">
        <f t="shared" si="83"/>
        <v>-4.94970246506663</v>
      </c>
      <c r="CO28" s="1">
        <f t="shared" si="83"/>
        <v>-4.82458198296039</v>
      </c>
      <c r="CP28" s="1">
        <f t="shared" si="83"/>
        <v>-6.04766359679568</v>
      </c>
      <c r="CQ28" s="1">
        <f t="shared" si="83"/>
        <v>-4.79989951275663</v>
      </c>
      <c r="CR28" s="1">
        <f t="shared" si="83"/>
        <v>-4.8436782425189</v>
      </c>
      <c r="CS28" s="1">
        <f t="shared" si="83"/>
        <v>-4.70694421067984</v>
      </c>
      <c r="CT28" s="1">
        <f t="shared" si="83"/>
        <v>-4.37362627557443</v>
      </c>
      <c r="CU28" s="1">
        <f t="shared" si="83"/>
        <v>-5.57200491198661</v>
      </c>
      <c r="CV28" s="1">
        <f t="shared" si="83"/>
        <v>-5.71094551374704</v>
      </c>
    </row>
    <row r="29" spans="1:100">
      <c r="A29" s="1" t="s">
        <v>30</v>
      </c>
      <c r="B29" s="1">
        <v>2022</v>
      </c>
      <c r="C29" s="1">
        <v>5827.81</v>
      </c>
      <c r="D29" s="1">
        <v>110510</v>
      </c>
      <c r="E29" s="1">
        <v>5.4</v>
      </c>
      <c r="F29" s="1">
        <v>46.92</v>
      </c>
      <c r="G29" s="1">
        <v>42.69</v>
      </c>
      <c r="H29" s="1">
        <v>220.93</v>
      </c>
      <c r="I29" s="1">
        <f t="shared" si="38"/>
        <v>4187</v>
      </c>
      <c r="J29" s="1">
        <v>0.25</v>
      </c>
      <c r="K29" s="1">
        <v>55.23</v>
      </c>
      <c r="L29" s="1">
        <v>2250.71</v>
      </c>
      <c r="M29" s="1">
        <f t="shared" si="0"/>
        <v>42659</v>
      </c>
      <c r="N29" s="1">
        <v>43893</v>
      </c>
      <c r="O29" s="1">
        <v>22497</v>
      </c>
      <c r="P29" s="1">
        <v>97672</v>
      </c>
      <c r="Q29" s="1">
        <v>488.74</v>
      </c>
      <c r="R29" s="1">
        <v>11.96</v>
      </c>
      <c r="S29" s="1">
        <v>139.44</v>
      </c>
      <c r="T29" s="1">
        <v>5772</v>
      </c>
      <c r="U29" s="3">
        <v>527.6</v>
      </c>
      <c r="V29" s="1">
        <v>63.2</v>
      </c>
      <c r="W29" s="1">
        <v>8.47</v>
      </c>
      <c r="X29" s="1">
        <v>10.35</v>
      </c>
      <c r="AA29" s="1">
        <f t="shared" si="6"/>
        <v>0.0966</v>
      </c>
      <c r="AB29" s="1">
        <f t="shared" si="7"/>
        <v>0.6225</v>
      </c>
      <c r="AC29" s="1">
        <f t="shared" si="8"/>
        <v>0.5714</v>
      </c>
      <c r="AD29" s="1">
        <f t="shared" si="9"/>
        <v>0.9351</v>
      </c>
      <c r="AE29" s="1">
        <f t="shared" si="10"/>
        <v>0.075</v>
      </c>
      <c r="AF29" s="1">
        <f t="shared" si="11"/>
        <v>0.0552</v>
      </c>
      <c r="AG29" s="1">
        <f t="shared" si="12"/>
        <v>0.2728</v>
      </c>
      <c r="AH29" s="1">
        <f t="shared" si="13"/>
        <v>0.002</v>
      </c>
      <c r="AI29" s="1">
        <f t="shared" si="14"/>
        <v>0.0557</v>
      </c>
      <c r="AJ29" s="1">
        <f t="shared" si="15"/>
        <v>0.0822</v>
      </c>
      <c r="AK29" s="1">
        <f t="shared" si="16"/>
        <v>0.6696</v>
      </c>
      <c r="AL29" s="1">
        <f t="shared" si="17"/>
        <v>0.3941</v>
      </c>
      <c r="AM29" s="1">
        <f t="shared" si="18"/>
        <v>0.5011</v>
      </c>
      <c r="AN29" s="1">
        <f t="shared" si="19"/>
        <v>0.2015</v>
      </c>
      <c r="AO29" s="1">
        <f t="shared" si="20"/>
        <v>0.0537</v>
      </c>
      <c r="AP29" s="1">
        <f t="shared" si="21"/>
        <v>0.0107</v>
      </c>
      <c r="AQ29" s="1">
        <f t="shared" si="22"/>
        <v>0.0297</v>
      </c>
      <c r="AR29" s="1">
        <f t="shared" si="23"/>
        <v>0.0647</v>
      </c>
      <c r="AS29" s="1">
        <f t="shared" si="24"/>
        <v>0.0894</v>
      </c>
      <c r="AT29" s="1">
        <f t="shared" si="25"/>
        <v>0.4758</v>
      </c>
      <c r="AU29" s="1">
        <f t="shared" si="26"/>
        <v>0.0393</v>
      </c>
      <c r="AV29" s="1">
        <f t="shared" si="27"/>
        <v>0.0225</v>
      </c>
      <c r="AW29" s="4">
        <f t="shared" si="28"/>
        <v>0.0747</v>
      </c>
      <c r="BA29" s="1">
        <f t="shared" si="39"/>
        <v>0.0110654188478677</v>
      </c>
      <c r="BB29" s="1">
        <f t="shared" si="2"/>
        <v>0.0174923427094164</v>
      </c>
      <c r="BC29" s="1">
        <f t="shared" si="3"/>
        <v>0.0117959876301089</v>
      </c>
      <c r="BD29" s="1">
        <f t="shared" ref="BD29:BV29" si="84">AD29/SUM(AD$2:AD$91)</f>
        <v>0.0168984610491467</v>
      </c>
      <c r="BE29" s="1">
        <f t="shared" si="84"/>
        <v>0.00255589747784037</v>
      </c>
      <c r="BF29" s="1">
        <f t="shared" si="84"/>
        <v>0.00672531007090816</v>
      </c>
      <c r="BG29" s="1">
        <f t="shared" si="84"/>
        <v>0.00966460833182766</v>
      </c>
      <c r="BH29" s="1">
        <f t="shared" si="84"/>
        <v>0.000413813080631478</v>
      </c>
      <c r="BI29" s="1">
        <f t="shared" si="84"/>
        <v>0.00644862518089725</v>
      </c>
      <c r="BJ29" s="1">
        <f t="shared" si="84"/>
        <v>0.00958622941642954</v>
      </c>
      <c r="BK29" s="1">
        <f t="shared" si="84"/>
        <v>0.0128162921563373</v>
      </c>
      <c r="BL29" s="1">
        <f t="shared" si="84"/>
        <v>0.0149627734094697</v>
      </c>
      <c r="BM29" s="1">
        <f t="shared" si="84"/>
        <v>0.01314274473805</v>
      </c>
      <c r="BN29" s="1">
        <f t="shared" si="84"/>
        <v>0.00874835561305784</v>
      </c>
      <c r="BO29" s="1">
        <f t="shared" si="84"/>
        <v>0.00689929850707917</v>
      </c>
      <c r="BP29" s="1">
        <f t="shared" si="84"/>
        <v>0.00173206423206423</v>
      </c>
      <c r="BQ29" s="1">
        <f t="shared" si="84"/>
        <v>0.00876157885420969</v>
      </c>
      <c r="BR29" s="1">
        <f t="shared" si="84"/>
        <v>0.00715882183717276</v>
      </c>
      <c r="BS29" s="1">
        <f t="shared" si="84"/>
        <v>0.00904245096948426</v>
      </c>
      <c r="BT29" s="1">
        <f t="shared" si="84"/>
        <v>0.0130953527736111</v>
      </c>
      <c r="BU29" s="1">
        <f t="shared" si="84"/>
        <v>0.0041863289197567</v>
      </c>
      <c r="BV29" s="1">
        <f t="shared" si="84"/>
        <v>0.00299054986243471</v>
      </c>
      <c r="CA29" s="1">
        <f t="shared" si="30"/>
        <v>-4.50393045279585</v>
      </c>
      <c r="CB29" s="1">
        <f t="shared" ref="CB29:CV29" si="85">IF(BB29=0,0,LN(BB29))</f>
        <v>-4.04599205327167</v>
      </c>
      <c r="CC29" s="1">
        <f t="shared" si="85"/>
        <v>-4.43999583668099</v>
      </c>
      <c r="CD29" s="1">
        <f t="shared" si="85"/>
        <v>-4.08053272338019</v>
      </c>
      <c r="CE29" s="1">
        <f t="shared" si="85"/>
        <v>-5.96935185366238</v>
      </c>
      <c r="CF29" s="1">
        <f t="shared" si="85"/>
        <v>-5.0018772473589</v>
      </c>
      <c r="CG29" s="1">
        <f t="shared" si="85"/>
        <v>-4.63928469152708</v>
      </c>
      <c r="CH29" s="1">
        <f t="shared" si="85"/>
        <v>-7.79009618215323</v>
      </c>
      <c r="CI29" s="1">
        <f t="shared" si="85"/>
        <v>-5.04388832114269</v>
      </c>
      <c r="CJ29" s="1">
        <f t="shared" si="85"/>
        <v>-4.64742764608485</v>
      </c>
      <c r="CK29" s="1">
        <f t="shared" si="85"/>
        <v>-4.35703809269738</v>
      </c>
      <c r="CL29" s="1">
        <f t="shared" si="85"/>
        <v>-4.20218993528456</v>
      </c>
      <c r="CM29" s="1">
        <f t="shared" si="85"/>
        <v>-4.33188540356466</v>
      </c>
      <c r="CN29" s="1">
        <f t="shared" si="85"/>
        <v>-4.7388895262099</v>
      </c>
      <c r="CO29" s="1">
        <f t="shared" si="85"/>
        <v>-4.97633553818792</v>
      </c>
      <c r="CP29" s="1">
        <f t="shared" si="85"/>
        <v>-6.35844138404211</v>
      </c>
      <c r="CQ29" s="1">
        <f t="shared" si="85"/>
        <v>-4.7373791557753</v>
      </c>
      <c r="CR29" s="1">
        <f t="shared" si="85"/>
        <v>-4.93940985942997</v>
      </c>
      <c r="CS29" s="1">
        <f t="shared" si="85"/>
        <v>-4.70582501638283</v>
      </c>
      <c r="CT29" s="1">
        <f t="shared" si="85"/>
        <v>-4.33549786181976</v>
      </c>
      <c r="CU29" s="1">
        <f t="shared" si="85"/>
        <v>-5.47593108189699</v>
      </c>
      <c r="CV29" s="1">
        <f t="shared" si="85"/>
        <v>-5.81229800800733</v>
      </c>
    </row>
    <row r="30" spans="1:100">
      <c r="A30" s="1" t="s">
        <v>30</v>
      </c>
      <c r="B30" s="1">
        <v>2023</v>
      </c>
      <c r="C30" s="1">
        <v>5842.91</v>
      </c>
      <c r="D30" s="1">
        <v>110719</v>
      </c>
      <c r="E30" s="1">
        <v>4.8</v>
      </c>
      <c r="F30" s="1">
        <v>42.45</v>
      </c>
      <c r="G30" s="1">
        <v>47.65</v>
      </c>
      <c r="H30" s="1">
        <v>265.56</v>
      </c>
      <c r="I30" s="1">
        <f t="shared" si="38"/>
        <v>5031</v>
      </c>
      <c r="J30" s="1">
        <v>0.62</v>
      </c>
      <c r="K30" s="1">
        <v>62.77</v>
      </c>
      <c r="L30" s="1">
        <v>2467.73</v>
      </c>
      <c r="M30" s="1">
        <f t="shared" si="0"/>
        <v>46751</v>
      </c>
      <c r="N30" s="1">
        <v>46110</v>
      </c>
      <c r="O30" s="1">
        <v>24174</v>
      </c>
      <c r="P30" s="1">
        <v>109116</v>
      </c>
      <c r="Q30" s="1">
        <v>578.22</v>
      </c>
      <c r="R30" s="1">
        <v>14.56</v>
      </c>
      <c r="S30" s="1">
        <v>148.46</v>
      </c>
      <c r="T30" s="1">
        <v>10003</v>
      </c>
      <c r="U30" s="1">
        <v>527.85</v>
      </c>
      <c r="V30" s="1">
        <v>64.15</v>
      </c>
      <c r="W30" s="1">
        <v>8.99</v>
      </c>
      <c r="X30" s="1">
        <v>11.55</v>
      </c>
      <c r="AA30" s="1">
        <f t="shared" si="6"/>
        <v>0.0969</v>
      </c>
      <c r="AB30" s="1">
        <f t="shared" si="7"/>
        <v>0.6242</v>
      </c>
      <c r="AC30" s="1">
        <f t="shared" si="8"/>
        <v>0.5489</v>
      </c>
      <c r="AD30" s="1">
        <f t="shared" si="9"/>
        <v>0.7634</v>
      </c>
      <c r="AE30" s="1">
        <f t="shared" si="10"/>
        <v>0.2593</v>
      </c>
      <c r="AF30" s="1">
        <f t="shared" si="11"/>
        <v>0.0665</v>
      </c>
      <c r="AG30" s="1">
        <f t="shared" si="12"/>
        <v>0.3506</v>
      </c>
      <c r="AH30" s="1">
        <f t="shared" si="13"/>
        <v>0.005</v>
      </c>
      <c r="AI30" s="1">
        <f t="shared" si="14"/>
        <v>0.0633</v>
      </c>
      <c r="AJ30" s="1">
        <f t="shared" si="15"/>
        <v>0.0902</v>
      </c>
      <c r="AK30" s="1">
        <f t="shared" si="16"/>
        <v>0.7378</v>
      </c>
      <c r="AL30" s="1">
        <f t="shared" si="17"/>
        <v>0.4598</v>
      </c>
      <c r="AM30" s="1">
        <f t="shared" si="18"/>
        <v>0.5769</v>
      </c>
      <c r="AN30" s="1">
        <f t="shared" si="19"/>
        <v>0.2481</v>
      </c>
      <c r="AO30" s="1">
        <f t="shared" si="20"/>
        <v>0.0635</v>
      </c>
      <c r="AP30" s="1">
        <f t="shared" si="21"/>
        <v>0.0131</v>
      </c>
      <c r="AQ30" s="1">
        <f t="shared" si="22"/>
        <v>0.0316</v>
      </c>
      <c r="AR30" s="1">
        <f t="shared" si="23"/>
        <v>0.1132</v>
      </c>
      <c r="AS30" s="1">
        <f t="shared" si="24"/>
        <v>0.0894</v>
      </c>
      <c r="AT30" s="1">
        <f t="shared" si="25"/>
        <v>0.4987</v>
      </c>
      <c r="AU30" s="1">
        <f t="shared" si="26"/>
        <v>0.0417</v>
      </c>
      <c r="AV30" s="1">
        <f t="shared" si="27"/>
        <v>0.0252</v>
      </c>
      <c r="AW30" s="4">
        <f t="shared" si="28"/>
        <v>0.0857</v>
      </c>
      <c r="BA30" s="1">
        <f t="shared" si="39"/>
        <v>0.0110997835026747</v>
      </c>
      <c r="BB30" s="1">
        <f t="shared" si="2"/>
        <v>0.0175401129625987</v>
      </c>
      <c r="BC30" s="1">
        <f t="shared" si="3"/>
        <v>0.0113314973926615</v>
      </c>
      <c r="BD30" s="1">
        <f t="shared" ref="BD30:BV30" si="86">AD30/SUM(AD$2:AD$91)</f>
        <v>0.013795620965585</v>
      </c>
      <c r="BE30" s="1">
        <f t="shared" si="86"/>
        <v>0.00883658954672011</v>
      </c>
      <c r="BF30" s="1">
        <f t="shared" si="86"/>
        <v>0.00810204927020639</v>
      </c>
      <c r="BG30" s="1">
        <f t="shared" si="86"/>
        <v>0.0124208639337932</v>
      </c>
      <c r="BH30" s="1">
        <f t="shared" si="86"/>
        <v>0.0010345327015787</v>
      </c>
      <c r="BI30" s="1">
        <f t="shared" si="86"/>
        <v>0.00732850940665702</v>
      </c>
      <c r="BJ30" s="1">
        <f t="shared" si="86"/>
        <v>0.010519195782992</v>
      </c>
      <c r="BK30" s="1">
        <f t="shared" si="86"/>
        <v>0.0141216552463347</v>
      </c>
      <c r="BL30" s="1">
        <f t="shared" si="86"/>
        <v>0.0174572017601476</v>
      </c>
      <c r="BM30" s="1">
        <f t="shared" si="86"/>
        <v>0.0151308110943545</v>
      </c>
      <c r="BN30" s="1">
        <f t="shared" si="86"/>
        <v>0.0107715485240677</v>
      </c>
      <c r="BO30" s="1">
        <f t="shared" si="86"/>
        <v>0.00815838836498189</v>
      </c>
      <c r="BP30" s="1">
        <f t="shared" si="86"/>
        <v>0.00212056462056462</v>
      </c>
      <c r="BQ30" s="1">
        <f t="shared" si="86"/>
        <v>0.00932208389875509</v>
      </c>
      <c r="BR30" s="1">
        <f t="shared" si="86"/>
        <v>0.0125251720551462</v>
      </c>
      <c r="BS30" s="1">
        <f t="shared" si="86"/>
        <v>0.00904245096948426</v>
      </c>
      <c r="BT30" s="1">
        <f t="shared" si="86"/>
        <v>0.0137256251118114</v>
      </c>
      <c r="BU30" s="1">
        <f t="shared" si="86"/>
        <v>0.00444198259424566</v>
      </c>
      <c r="BV30" s="1">
        <f t="shared" si="86"/>
        <v>0.00334941584592687</v>
      </c>
      <c r="CA30" s="1">
        <f t="shared" si="30"/>
        <v>-4.5008296751176</v>
      </c>
      <c r="CB30" s="1">
        <f t="shared" ref="CB30:CV30" si="87">IF(BB30=0,0,LN(BB30))</f>
        <v>-4.04326485177385</v>
      </c>
      <c r="CC30" s="1">
        <f t="shared" si="87"/>
        <v>-4.48016905092182</v>
      </c>
      <c r="CD30" s="1">
        <f t="shared" si="87"/>
        <v>-4.28340405851046</v>
      </c>
      <c r="CE30" s="1">
        <f t="shared" si="87"/>
        <v>-4.72885427465407</v>
      </c>
      <c r="CF30" s="1">
        <f t="shared" si="87"/>
        <v>-4.81563825298014</v>
      </c>
      <c r="CG30" s="1">
        <f t="shared" si="87"/>
        <v>-4.38837764500925</v>
      </c>
      <c r="CH30" s="1">
        <f t="shared" si="87"/>
        <v>-6.87380545027907</v>
      </c>
      <c r="CI30" s="1">
        <f t="shared" si="87"/>
        <v>-4.91598313892579</v>
      </c>
      <c r="CJ30" s="1">
        <f t="shared" si="87"/>
        <v>-4.5545535210784</v>
      </c>
      <c r="CK30" s="1">
        <f t="shared" si="87"/>
        <v>-4.26004582671007</v>
      </c>
      <c r="CL30" s="1">
        <f t="shared" si="87"/>
        <v>-4.04800300715644</v>
      </c>
      <c r="CM30" s="1">
        <f t="shared" si="87"/>
        <v>-4.1910221442675</v>
      </c>
      <c r="CN30" s="1">
        <f t="shared" si="87"/>
        <v>-4.53084701689889</v>
      </c>
      <c r="CO30" s="1">
        <f t="shared" si="87"/>
        <v>-4.8087086338041</v>
      </c>
      <c r="CP30" s="1">
        <f t="shared" si="87"/>
        <v>-6.15607289530287</v>
      </c>
      <c r="CQ30" s="1">
        <f t="shared" si="87"/>
        <v>-4.67536908099109</v>
      </c>
      <c r="CR30" s="1">
        <f t="shared" si="87"/>
        <v>-4.38001489516774</v>
      </c>
      <c r="CS30" s="1">
        <f t="shared" si="87"/>
        <v>-4.70582501638283</v>
      </c>
      <c r="CT30" s="1">
        <f t="shared" si="87"/>
        <v>-4.28849074713654</v>
      </c>
      <c r="CU30" s="1">
        <f t="shared" si="87"/>
        <v>-5.41665447196745</v>
      </c>
      <c r="CV30" s="1">
        <f t="shared" si="87"/>
        <v>-5.69896932270032</v>
      </c>
    </row>
    <row r="31" spans="1:100">
      <c r="A31" s="1" t="s">
        <v>30</v>
      </c>
      <c r="B31" s="1">
        <v>2024</v>
      </c>
      <c r="C31" s="1">
        <v>6102.41</v>
      </c>
      <c r="D31" s="1">
        <v>115583</v>
      </c>
      <c r="E31" s="1">
        <v>5.9</v>
      </c>
      <c r="F31" s="1">
        <v>40.95</v>
      </c>
      <c r="G31" s="1">
        <v>49.27</v>
      </c>
      <c r="H31" s="1">
        <v>285.47</v>
      </c>
      <c r="I31" s="1">
        <f t="shared" si="38"/>
        <v>5407</v>
      </c>
      <c r="J31" s="1">
        <v>0.38</v>
      </c>
      <c r="K31" s="1">
        <v>53.04</v>
      </c>
      <c r="L31" s="3">
        <v>2588.6</v>
      </c>
      <c r="M31" s="1">
        <f t="shared" si="0"/>
        <v>49029</v>
      </c>
      <c r="N31" s="1">
        <v>48194</v>
      </c>
      <c r="O31" s="1">
        <v>25583</v>
      </c>
      <c r="P31" s="1">
        <v>119402</v>
      </c>
      <c r="Q31" s="1">
        <v>593.83</v>
      </c>
      <c r="R31" s="1">
        <v>14.76</v>
      </c>
      <c r="S31" s="1">
        <v>159.09</v>
      </c>
      <c r="T31" s="1">
        <v>10162</v>
      </c>
      <c r="U31" s="1">
        <v>527.97</v>
      </c>
      <c r="V31" s="1">
        <v>65.16</v>
      </c>
      <c r="W31" s="1">
        <v>8.79</v>
      </c>
      <c r="X31" s="1">
        <v>10.58</v>
      </c>
      <c r="AA31" s="1">
        <f t="shared" si="6"/>
        <v>0.1012</v>
      </c>
      <c r="AB31" s="1">
        <f t="shared" si="7"/>
        <v>0.6631</v>
      </c>
      <c r="AC31" s="1">
        <f t="shared" si="8"/>
        <v>0.5902</v>
      </c>
      <c r="AD31" s="1">
        <f t="shared" si="9"/>
        <v>0.7058</v>
      </c>
      <c r="AE31" s="1">
        <f t="shared" si="10"/>
        <v>0.3195</v>
      </c>
      <c r="AF31" s="1">
        <f t="shared" si="11"/>
        <v>0.0716</v>
      </c>
      <c r="AG31" s="1">
        <f t="shared" si="12"/>
        <v>0.3853</v>
      </c>
      <c r="AH31" s="1">
        <f t="shared" si="13"/>
        <v>0.0031</v>
      </c>
      <c r="AI31" s="1">
        <f t="shared" si="14"/>
        <v>0.0535</v>
      </c>
      <c r="AJ31" s="1">
        <f t="shared" si="15"/>
        <v>0.0946</v>
      </c>
      <c r="AK31" s="1">
        <f t="shared" si="16"/>
        <v>0.7757</v>
      </c>
      <c r="AL31" s="1">
        <f t="shared" si="17"/>
        <v>0.5215</v>
      </c>
      <c r="AM31" s="1">
        <f t="shared" si="18"/>
        <v>0.6406</v>
      </c>
      <c r="AN31" s="1">
        <f t="shared" si="19"/>
        <v>0.2899</v>
      </c>
      <c r="AO31" s="1">
        <f t="shared" si="20"/>
        <v>0.0652</v>
      </c>
      <c r="AP31" s="1">
        <f t="shared" si="21"/>
        <v>0.0132</v>
      </c>
      <c r="AQ31" s="1">
        <f t="shared" si="22"/>
        <v>0.0339</v>
      </c>
      <c r="AR31" s="1">
        <f t="shared" si="23"/>
        <v>0.115</v>
      </c>
      <c r="AS31" s="1">
        <f t="shared" si="24"/>
        <v>0.0894</v>
      </c>
      <c r="AT31" s="1">
        <f t="shared" si="25"/>
        <v>0.523</v>
      </c>
      <c r="AU31" s="1">
        <f t="shared" si="26"/>
        <v>0.0407</v>
      </c>
      <c r="AV31" s="1">
        <f t="shared" si="27"/>
        <v>0.023</v>
      </c>
      <c r="AW31" s="4">
        <f t="shared" si="28"/>
        <v>0.0894</v>
      </c>
      <c r="BA31" s="1">
        <f t="shared" si="39"/>
        <v>0.011592343554909</v>
      </c>
      <c r="BB31" s="1">
        <f t="shared" si="2"/>
        <v>0.0186332087560064</v>
      </c>
      <c r="BC31" s="1">
        <f t="shared" si="3"/>
        <v>0.0121840950285094</v>
      </c>
      <c r="BD31" s="1">
        <f t="shared" ref="BD31:BV31" si="88">AD31/SUM(AD$2:AD$91)</f>
        <v>0.0127547147989389</v>
      </c>
      <c r="BE31" s="1">
        <f t="shared" si="88"/>
        <v>0.0108881232556</v>
      </c>
      <c r="BF31" s="1">
        <f t="shared" si="88"/>
        <v>0.00872340943980116</v>
      </c>
      <c r="BG31" s="1">
        <f t="shared" si="88"/>
        <v>0.0136501964452097</v>
      </c>
      <c r="BH31" s="1">
        <f t="shared" si="88"/>
        <v>0.000641410274978791</v>
      </c>
      <c r="BI31" s="1">
        <f t="shared" si="88"/>
        <v>0.00619392185238784</v>
      </c>
      <c r="BJ31" s="1">
        <f t="shared" si="88"/>
        <v>0.0110323272846014</v>
      </c>
      <c r="BK31" s="1">
        <f t="shared" si="88"/>
        <v>0.014847069632125</v>
      </c>
      <c r="BL31" s="1">
        <f t="shared" si="88"/>
        <v>0.0197997623269182</v>
      </c>
      <c r="BM31" s="1">
        <f t="shared" si="88"/>
        <v>0.0168015212117238</v>
      </c>
      <c r="BN31" s="1">
        <f t="shared" si="88"/>
        <v>0.0125863438820123</v>
      </c>
      <c r="BO31" s="1">
        <f t="shared" si="88"/>
        <v>0.00837680191176093</v>
      </c>
      <c r="BP31" s="1">
        <f t="shared" si="88"/>
        <v>0.00213675213675214</v>
      </c>
      <c r="BQ31" s="1">
        <f t="shared" si="88"/>
        <v>0.01000059000531</v>
      </c>
      <c r="BR31" s="1">
        <f t="shared" si="88"/>
        <v>0.0127243355683905</v>
      </c>
      <c r="BS31" s="1">
        <f t="shared" si="88"/>
        <v>0.00904245096948426</v>
      </c>
      <c r="BT31" s="1">
        <f t="shared" si="88"/>
        <v>0.0143944293833514</v>
      </c>
      <c r="BU31" s="1">
        <f t="shared" si="88"/>
        <v>0.00433546022987526</v>
      </c>
      <c r="BV31" s="1">
        <f t="shared" si="88"/>
        <v>0.00305700652604437</v>
      </c>
      <c r="CA31" s="1">
        <f t="shared" si="30"/>
        <v>-4.45741043716095</v>
      </c>
      <c r="CB31" s="1">
        <f t="shared" ref="CB31:CV31" si="89">IF(BB31=0,0,LN(BB31))</f>
        <v>-3.98280987323571</v>
      </c>
      <c r="CC31" s="1">
        <f t="shared" si="89"/>
        <v>-4.40762386396882</v>
      </c>
      <c r="CD31" s="1">
        <f t="shared" si="89"/>
        <v>-4.36185428758042</v>
      </c>
      <c r="CE31" s="1">
        <f t="shared" si="89"/>
        <v>-4.5200826933811</v>
      </c>
      <c r="CF31" s="1">
        <f t="shared" si="89"/>
        <v>-4.74174512667535</v>
      </c>
      <c r="CG31" s="1">
        <f t="shared" si="89"/>
        <v>-4.29400136586427</v>
      </c>
      <c r="CH31" s="1">
        <f t="shared" si="89"/>
        <v>-7.35184125122207</v>
      </c>
      <c r="CI31" s="1">
        <f t="shared" si="89"/>
        <v>-5.08418681417396</v>
      </c>
      <c r="CJ31" s="1">
        <f t="shared" si="89"/>
        <v>-4.50692547208915</v>
      </c>
      <c r="CK31" s="1">
        <f t="shared" si="89"/>
        <v>-4.20995276437582</v>
      </c>
      <c r="CL31" s="1">
        <f t="shared" si="89"/>
        <v>-3.92208534504469</v>
      </c>
      <c r="CM31" s="1">
        <f t="shared" si="89"/>
        <v>-4.08628584835528</v>
      </c>
      <c r="CN31" s="1">
        <f t="shared" si="89"/>
        <v>-4.37514287166903</v>
      </c>
      <c r="CO31" s="1">
        <f t="shared" si="89"/>
        <v>-4.78228907077014</v>
      </c>
      <c r="CP31" s="1">
        <f t="shared" si="89"/>
        <v>-6.14846829591765</v>
      </c>
      <c r="CQ31" s="1">
        <f t="shared" si="89"/>
        <v>-4.60511118719755</v>
      </c>
      <c r="CR31" s="1">
        <f t="shared" si="89"/>
        <v>-4.36423893257358</v>
      </c>
      <c r="CS31" s="1">
        <f t="shared" si="89"/>
        <v>-4.70582501638283</v>
      </c>
      <c r="CT31" s="1">
        <f t="shared" si="89"/>
        <v>-4.24091399562369</v>
      </c>
      <c r="CU31" s="1">
        <f t="shared" si="89"/>
        <v>-5.44092750832366</v>
      </c>
      <c r="CV31" s="1">
        <f t="shared" si="89"/>
        <v>-5.79031910128855</v>
      </c>
    </row>
    <row r="32" spans="1:100">
      <c r="A32" s="1" t="s">
        <v>31</v>
      </c>
      <c r="B32" s="1">
        <v>2020</v>
      </c>
      <c r="C32" s="1">
        <v>1005.23</v>
      </c>
      <c r="D32" s="1">
        <v>93991</v>
      </c>
      <c r="E32" s="1">
        <v>-9.8</v>
      </c>
      <c r="F32" s="1">
        <v>43.28</v>
      </c>
      <c r="G32" s="1">
        <v>46.85</v>
      </c>
      <c r="H32" s="1">
        <v>48.47</v>
      </c>
      <c r="I32" s="1">
        <f t="shared" si="38"/>
        <v>4490</v>
      </c>
      <c r="J32" s="1">
        <v>0.47</v>
      </c>
      <c r="K32" s="1">
        <v>4.25</v>
      </c>
      <c r="L32" s="1">
        <v>342.13</v>
      </c>
      <c r="M32" s="1">
        <f t="shared" si="0"/>
        <v>31696</v>
      </c>
      <c r="N32" s="1">
        <v>35025</v>
      </c>
      <c r="O32" s="1">
        <v>18792</v>
      </c>
      <c r="P32" s="1">
        <v>83174</v>
      </c>
      <c r="Q32" s="1">
        <v>43.58</v>
      </c>
      <c r="R32" s="1">
        <v>2.89</v>
      </c>
      <c r="S32" s="3">
        <v>31.8</v>
      </c>
      <c r="T32" s="1">
        <v>490</v>
      </c>
      <c r="U32" s="1">
        <v>107.94</v>
      </c>
      <c r="V32" s="1">
        <v>66.27</v>
      </c>
      <c r="W32" s="1">
        <v>1.66</v>
      </c>
      <c r="X32" s="1">
        <v>2.59</v>
      </c>
      <c r="AA32" s="1">
        <f t="shared" si="6"/>
        <v>0.0162</v>
      </c>
      <c r="AB32" s="1">
        <f t="shared" si="7"/>
        <v>0.4904</v>
      </c>
      <c r="AC32" s="1">
        <f t="shared" si="8"/>
        <v>0</v>
      </c>
      <c r="AD32" s="1">
        <f t="shared" si="9"/>
        <v>0.7953</v>
      </c>
      <c r="AE32" s="1">
        <f t="shared" si="10"/>
        <v>0.2296</v>
      </c>
      <c r="AF32" s="1">
        <f t="shared" si="11"/>
        <v>0.0114</v>
      </c>
      <c r="AG32" s="1">
        <f t="shared" si="12"/>
        <v>0.3008</v>
      </c>
      <c r="AH32" s="1">
        <f t="shared" si="13"/>
        <v>0.0038</v>
      </c>
      <c r="AI32" s="1">
        <f t="shared" si="14"/>
        <v>0.0043</v>
      </c>
      <c r="AJ32" s="1">
        <f t="shared" si="15"/>
        <v>0.012</v>
      </c>
      <c r="AK32" s="1">
        <f t="shared" si="16"/>
        <v>0.487</v>
      </c>
      <c r="AL32" s="1">
        <f t="shared" si="17"/>
        <v>0.1315</v>
      </c>
      <c r="AM32" s="1">
        <f t="shared" si="18"/>
        <v>0.3335</v>
      </c>
      <c r="AN32" s="1">
        <f t="shared" si="19"/>
        <v>0.1426</v>
      </c>
      <c r="AO32" s="1">
        <f t="shared" si="20"/>
        <v>0.0046</v>
      </c>
      <c r="AP32" s="1">
        <f t="shared" si="21"/>
        <v>0.0025</v>
      </c>
      <c r="AQ32" s="1">
        <f t="shared" si="22"/>
        <v>0.0066</v>
      </c>
      <c r="AR32" s="1">
        <f t="shared" si="23"/>
        <v>0.0041</v>
      </c>
      <c r="AS32" s="1">
        <f t="shared" si="24"/>
        <v>0.0175</v>
      </c>
      <c r="AT32" s="1">
        <f t="shared" si="25"/>
        <v>0.5497</v>
      </c>
      <c r="AU32" s="1">
        <f t="shared" si="26"/>
        <v>0.0077</v>
      </c>
      <c r="AV32" s="1">
        <f t="shared" si="27"/>
        <v>0.0046</v>
      </c>
      <c r="AW32" s="4">
        <f t="shared" si="28"/>
        <v>0.0341</v>
      </c>
      <c r="BA32" s="1">
        <f t="shared" si="39"/>
        <v>0.00185569135958029</v>
      </c>
      <c r="BB32" s="1">
        <f t="shared" si="2"/>
        <v>0.0137803130356591</v>
      </c>
      <c r="BC32" s="1">
        <f t="shared" si="3"/>
        <v>0</v>
      </c>
      <c r="BD32" s="1">
        <f t="shared" ref="BD32:BV32" si="90">AD32/SUM(AD$2:AD$91)</f>
        <v>0.0143720950405158</v>
      </c>
      <c r="BE32" s="1">
        <f t="shared" si="90"/>
        <v>0.00782445414549532</v>
      </c>
      <c r="BF32" s="1">
        <f t="shared" si="90"/>
        <v>0.00138892273203538</v>
      </c>
      <c r="BG32" s="1">
        <f t="shared" si="90"/>
        <v>0.0106565769289361</v>
      </c>
      <c r="BH32" s="1">
        <f t="shared" si="90"/>
        <v>0.000786244853199809</v>
      </c>
      <c r="BI32" s="1">
        <f t="shared" si="90"/>
        <v>0.000497829232995659</v>
      </c>
      <c r="BJ32" s="1">
        <f t="shared" si="90"/>
        <v>0.00139944954984373</v>
      </c>
      <c r="BK32" s="1">
        <f t="shared" si="90"/>
        <v>0.00932128775408644</v>
      </c>
      <c r="BL32" s="1">
        <f t="shared" si="90"/>
        <v>0.00499265339595348</v>
      </c>
      <c r="BM32" s="1">
        <f t="shared" si="90"/>
        <v>0.00874696741197298</v>
      </c>
      <c r="BN32" s="1">
        <f t="shared" si="90"/>
        <v>0.00619114397231786</v>
      </c>
      <c r="BO32" s="1">
        <f t="shared" si="90"/>
        <v>0.000591001361872704</v>
      </c>
      <c r="BP32" s="1">
        <f t="shared" si="90"/>
        <v>0.000404687904687905</v>
      </c>
      <c r="BQ32" s="1">
        <f t="shared" si="90"/>
        <v>0.00194701752315771</v>
      </c>
      <c r="BR32" s="1">
        <f t="shared" si="90"/>
        <v>0.000453650224612184</v>
      </c>
      <c r="BS32" s="1">
        <f t="shared" si="90"/>
        <v>0.00177005471997734</v>
      </c>
      <c r="BT32" s="1">
        <f t="shared" si="90"/>
        <v>0.0151292883977596</v>
      </c>
      <c r="BU32" s="1">
        <f t="shared" si="90"/>
        <v>0.000820222205652077</v>
      </c>
      <c r="BV32" s="1">
        <f t="shared" si="90"/>
        <v>0.000611401305208873</v>
      </c>
      <c r="CA32" s="1">
        <f t="shared" si="30"/>
        <v>-6.28949795177598</v>
      </c>
      <c r="CB32" s="1">
        <f t="shared" ref="CB32:CV32" si="91">IF(BB32=0,0,LN(BB32))</f>
        <v>-4.28451429698853</v>
      </c>
      <c r="CC32" s="1">
        <f t="shared" si="91"/>
        <v>0</v>
      </c>
      <c r="CD32" s="1">
        <f t="shared" si="91"/>
        <v>-4.2424667968585</v>
      </c>
      <c r="CE32" s="1">
        <f t="shared" si="91"/>
        <v>-4.85050130275328</v>
      </c>
      <c r="CF32" s="1">
        <f t="shared" si="91"/>
        <v>-6.5792268452415</v>
      </c>
      <c r="CG32" s="1">
        <f t="shared" si="91"/>
        <v>-4.5415780254207</v>
      </c>
      <c r="CH32" s="1">
        <f t="shared" si="91"/>
        <v>-7.14824229598083</v>
      </c>
      <c r="CI32" s="1">
        <f t="shared" si="91"/>
        <v>-7.60525344537641</v>
      </c>
      <c r="CJ32" s="1">
        <f t="shared" si="91"/>
        <v>-6.57167629835898</v>
      </c>
      <c r="CK32" s="1">
        <f t="shared" si="91"/>
        <v>-4.67545448879006</v>
      </c>
      <c r="CL32" s="1">
        <f t="shared" si="91"/>
        <v>-5.2997877678677</v>
      </c>
      <c r="CM32" s="1">
        <f t="shared" si="91"/>
        <v>-4.73904822017466</v>
      </c>
      <c r="CN32" s="1">
        <f t="shared" si="91"/>
        <v>-5.08463539961645</v>
      </c>
      <c r="CO32" s="1">
        <f t="shared" si="91"/>
        <v>-7.43369223620769</v>
      </c>
      <c r="CP32" s="1">
        <f t="shared" si="91"/>
        <v>-7.81239439363582</v>
      </c>
      <c r="CQ32" s="1">
        <f t="shared" si="91"/>
        <v>-6.24145655255157</v>
      </c>
      <c r="CR32" s="1">
        <f t="shared" si="91"/>
        <v>-7.69818408722656</v>
      </c>
      <c r="CS32" s="1">
        <f t="shared" si="91"/>
        <v>-6.33674481763283</v>
      </c>
      <c r="CT32" s="1">
        <f t="shared" si="91"/>
        <v>-4.191122784822</v>
      </c>
      <c r="CU32" s="1">
        <f t="shared" si="91"/>
        <v>-7.10593527191257</v>
      </c>
      <c r="CV32" s="1">
        <f t="shared" si="91"/>
        <v>-7.39975701372265</v>
      </c>
    </row>
    <row r="33" spans="1:100">
      <c r="A33" s="1" t="s">
        <v>31</v>
      </c>
      <c r="B33" s="1">
        <v>2021</v>
      </c>
      <c r="C33" s="3">
        <v>1162.3</v>
      </c>
      <c r="D33" s="1">
        <v>108166</v>
      </c>
      <c r="E33" s="1">
        <v>12.9</v>
      </c>
      <c r="F33" s="1">
        <v>42.69</v>
      </c>
      <c r="G33" s="1">
        <v>47.43</v>
      </c>
      <c r="H33" s="1">
        <v>68.88</v>
      </c>
      <c r="I33" s="1">
        <f t="shared" si="38"/>
        <v>6439</v>
      </c>
      <c r="J33" s="1">
        <v>0.55</v>
      </c>
      <c r="K33" s="1">
        <v>4.48</v>
      </c>
      <c r="L33" s="1">
        <v>375.38</v>
      </c>
      <c r="M33" s="1">
        <f t="shared" si="0"/>
        <v>35092</v>
      </c>
      <c r="N33" s="1">
        <v>38317</v>
      </c>
      <c r="O33" s="1">
        <v>21479</v>
      </c>
      <c r="P33" s="1">
        <v>91935</v>
      </c>
      <c r="Q33" s="1">
        <v>65.03</v>
      </c>
      <c r="R33" s="1">
        <v>2.42</v>
      </c>
      <c r="S33" s="1">
        <v>32.03</v>
      </c>
      <c r="T33" s="1">
        <v>729</v>
      </c>
      <c r="U33" s="1">
        <v>106.97</v>
      </c>
      <c r="V33" s="1">
        <v>66.72</v>
      </c>
      <c r="W33" s="1">
        <v>1.76</v>
      </c>
      <c r="X33" s="1">
        <v>5.24</v>
      </c>
      <c r="AA33" s="1">
        <f t="shared" si="6"/>
        <v>0.0189</v>
      </c>
      <c r="AB33" s="1">
        <f t="shared" si="7"/>
        <v>0.6038</v>
      </c>
      <c r="AC33" s="1">
        <f t="shared" si="8"/>
        <v>0.8534</v>
      </c>
      <c r="AD33" s="1">
        <f t="shared" si="9"/>
        <v>0.7727</v>
      </c>
      <c r="AE33" s="1">
        <f t="shared" si="10"/>
        <v>0.2511</v>
      </c>
      <c r="AF33" s="1">
        <f t="shared" si="11"/>
        <v>0.0165</v>
      </c>
      <c r="AG33" s="1">
        <f t="shared" si="12"/>
        <v>0.4805</v>
      </c>
      <c r="AH33" s="1">
        <f t="shared" si="13"/>
        <v>0.0044</v>
      </c>
      <c r="AI33" s="1">
        <f t="shared" si="14"/>
        <v>0.0045</v>
      </c>
      <c r="AJ33" s="1">
        <f t="shared" si="15"/>
        <v>0.0132</v>
      </c>
      <c r="AK33" s="1">
        <f t="shared" si="16"/>
        <v>0.5435</v>
      </c>
      <c r="AL33" s="1">
        <f t="shared" si="17"/>
        <v>0.229</v>
      </c>
      <c r="AM33" s="1">
        <f t="shared" si="18"/>
        <v>0.455</v>
      </c>
      <c r="AN33" s="1">
        <f t="shared" si="19"/>
        <v>0.1782</v>
      </c>
      <c r="AO33" s="1">
        <f t="shared" si="20"/>
        <v>0.007</v>
      </c>
      <c r="AP33" s="1">
        <f t="shared" si="21"/>
        <v>0.0021</v>
      </c>
      <c r="AQ33" s="1">
        <f t="shared" si="22"/>
        <v>0.0067</v>
      </c>
      <c r="AR33" s="1">
        <f t="shared" si="23"/>
        <v>0.0068</v>
      </c>
      <c r="AS33" s="1">
        <f t="shared" si="24"/>
        <v>0.0173</v>
      </c>
      <c r="AT33" s="1">
        <f t="shared" si="25"/>
        <v>0.5605</v>
      </c>
      <c r="AU33" s="1">
        <f t="shared" si="26"/>
        <v>0.0082</v>
      </c>
      <c r="AV33" s="1">
        <f t="shared" si="27"/>
        <v>0.0107</v>
      </c>
      <c r="AW33" s="4">
        <f t="shared" si="28"/>
        <v>0.0469</v>
      </c>
      <c r="BA33" s="1">
        <f t="shared" si="39"/>
        <v>0.00216497325284368</v>
      </c>
      <c r="BB33" s="1">
        <f t="shared" si="2"/>
        <v>0.0169668699244106</v>
      </c>
      <c r="BC33" s="1">
        <f t="shared" si="3"/>
        <v>0.0176175986061164</v>
      </c>
      <c r="BD33" s="1">
        <f t="shared" ref="BD33:BV33" si="92">AD33/SUM(AD$2:AD$91)</f>
        <v>0.0139636839404081</v>
      </c>
      <c r="BE33" s="1">
        <f t="shared" si="92"/>
        <v>0.00855714475580956</v>
      </c>
      <c r="BF33" s="1">
        <f t="shared" si="92"/>
        <v>0.00201028290163016</v>
      </c>
      <c r="BG33" s="1">
        <f t="shared" si="92"/>
        <v>0.0170228896753783</v>
      </c>
      <c r="BH33" s="1">
        <f t="shared" si="92"/>
        <v>0.000910388777389252</v>
      </c>
      <c r="BI33" s="1">
        <f t="shared" si="92"/>
        <v>0.000520984081041968</v>
      </c>
      <c r="BJ33" s="1">
        <f t="shared" si="92"/>
        <v>0.0015393945048281</v>
      </c>
      <c r="BK33" s="1">
        <f t="shared" si="92"/>
        <v>0.0104027102553306</v>
      </c>
      <c r="BL33" s="1">
        <f t="shared" si="92"/>
        <v>0.00869443062869466</v>
      </c>
      <c r="BM33" s="1">
        <f t="shared" si="92"/>
        <v>0.0119336436954954</v>
      </c>
      <c r="BN33" s="1">
        <f t="shared" si="92"/>
        <v>0.00773675915755289</v>
      </c>
      <c r="BO33" s="1">
        <f t="shared" si="92"/>
        <v>0.00089934989850194</v>
      </c>
      <c r="BP33" s="1">
        <f t="shared" si="92"/>
        <v>0.00033993783993784</v>
      </c>
      <c r="BQ33" s="1">
        <f t="shared" si="92"/>
        <v>0.0019765177886601</v>
      </c>
      <c r="BR33" s="1">
        <f t="shared" si="92"/>
        <v>0.000752395494478744</v>
      </c>
      <c r="BS33" s="1">
        <f t="shared" si="92"/>
        <v>0.0017498255231776</v>
      </c>
      <c r="BT33" s="1">
        <f t="shared" si="92"/>
        <v>0.0154265347406663</v>
      </c>
      <c r="BU33" s="1">
        <f t="shared" si="92"/>
        <v>0.000873483387837276</v>
      </c>
      <c r="BV33" s="1">
        <f t="shared" si="92"/>
        <v>0.00142217260124673</v>
      </c>
      <c r="CA33" s="1">
        <f t="shared" si="30"/>
        <v>-6.13534727194872</v>
      </c>
      <c r="CB33" s="1">
        <f t="shared" ref="CB33:CV33" si="93">IF(BB33=0,0,LN(BB33))</f>
        <v>-4.07649266433779</v>
      </c>
      <c r="CC33" s="1">
        <f t="shared" si="93"/>
        <v>-4.03885695572376</v>
      </c>
      <c r="CD33" s="1">
        <f t="shared" si="93"/>
        <v>-4.27129532388205</v>
      </c>
      <c r="CE33" s="1">
        <f t="shared" si="93"/>
        <v>-4.76098870103515</v>
      </c>
      <c r="CF33" s="1">
        <f t="shared" si="93"/>
        <v>-6.20947981973541</v>
      </c>
      <c r="CG33" s="1">
        <f t="shared" si="93"/>
        <v>-4.07319638908604</v>
      </c>
      <c r="CH33" s="1">
        <f t="shared" si="93"/>
        <v>-7.00163882178896</v>
      </c>
      <c r="CI33" s="1">
        <f t="shared" si="93"/>
        <v>-7.55979107129965</v>
      </c>
      <c r="CJ33" s="1">
        <f t="shared" si="93"/>
        <v>-6.47636611855465</v>
      </c>
      <c r="CK33" s="1">
        <f t="shared" si="93"/>
        <v>-4.56568890531138</v>
      </c>
      <c r="CL33" s="1">
        <f t="shared" si="93"/>
        <v>-4.74507261593128</v>
      </c>
      <c r="CM33" s="1">
        <f t="shared" si="93"/>
        <v>-4.42839366657939</v>
      </c>
      <c r="CN33" s="1">
        <f t="shared" si="93"/>
        <v>-4.86177239255993</v>
      </c>
      <c r="CO33" s="1">
        <f t="shared" si="93"/>
        <v>-7.01383839064743</v>
      </c>
      <c r="CP33" s="1">
        <f t="shared" si="93"/>
        <v>-7.9867477807806</v>
      </c>
      <c r="CQ33" s="1">
        <f t="shared" si="93"/>
        <v>-6.22641867518703</v>
      </c>
      <c r="CR33" s="1">
        <f t="shared" si="93"/>
        <v>-7.19224844875476</v>
      </c>
      <c r="CS33" s="1">
        <f t="shared" si="93"/>
        <v>-6.34823919705856</v>
      </c>
      <c r="CT33" s="1">
        <f t="shared" si="93"/>
        <v>-4.1716662171764</v>
      </c>
      <c r="CU33" s="1">
        <f t="shared" si="93"/>
        <v>-7.043021446502</v>
      </c>
      <c r="CV33" s="1">
        <f t="shared" si="93"/>
        <v>-6.55556957574984</v>
      </c>
    </row>
    <row r="34" spans="1:100">
      <c r="A34" s="1" t="s">
        <v>31</v>
      </c>
      <c r="B34" s="1">
        <v>2022</v>
      </c>
      <c r="C34" s="1">
        <v>1264.55</v>
      </c>
      <c r="D34" s="1">
        <v>118133</v>
      </c>
      <c r="E34" s="1">
        <v>5.1</v>
      </c>
      <c r="F34" s="1">
        <v>48.48</v>
      </c>
      <c r="G34" s="1">
        <v>44.78</v>
      </c>
      <c r="H34" s="1">
        <v>73.84</v>
      </c>
      <c r="I34" s="1">
        <f t="shared" si="38"/>
        <v>6893</v>
      </c>
      <c r="J34" s="1">
        <v>0.62</v>
      </c>
      <c r="K34" s="1">
        <v>6.35</v>
      </c>
      <c r="L34" s="1">
        <v>388.02</v>
      </c>
      <c r="M34" s="1">
        <f t="shared" si="0"/>
        <v>36223</v>
      </c>
      <c r="N34" s="1">
        <v>40654</v>
      </c>
      <c r="O34" s="1">
        <v>23111</v>
      </c>
      <c r="P34" s="1">
        <v>100893</v>
      </c>
      <c r="Q34" s="1">
        <v>85.62</v>
      </c>
      <c r="R34" s="1">
        <v>2.04</v>
      </c>
      <c r="S34" s="1">
        <v>35.08</v>
      </c>
      <c r="T34" s="1">
        <v>699</v>
      </c>
      <c r="U34" s="1">
        <v>107.12</v>
      </c>
      <c r="V34" s="3">
        <v>67.1</v>
      </c>
      <c r="W34" s="1">
        <v>1.72</v>
      </c>
      <c r="X34" s="1">
        <v>1.82</v>
      </c>
      <c r="AA34" s="1">
        <f t="shared" si="6"/>
        <v>0.0206</v>
      </c>
      <c r="AB34" s="1">
        <f t="shared" si="7"/>
        <v>0.6834</v>
      </c>
      <c r="AC34" s="1">
        <f t="shared" si="8"/>
        <v>0.5602</v>
      </c>
      <c r="AD34" s="1">
        <f t="shared" si="9"/>
        <v>0.995</v>
      </c>
      <c r="AE34" s="1">
        <f t="shared" si="10"/>
        <v>0.1527</v>
      </c>
      <c r="AF34" s="1">
        <f t="shared" si="11"/>
        <v>0.0178</v>
      </c>
      <c r="AG34" s="1">
        <f t="shared" si="12"/>
        <v>0.5223</v>
      </c>
      <c r="AH34" s="1">
        <f t="shared" si="13"/>
        <v>0.005</v>
      </c>
      <c r="AI34" s="1">
        <f t="shared" si="14"/>
        <v>0.0064</v>
      </c>
      <c r="AJ34" s="1">
        <f t="shared" si="15"/>
        <v>0.0137</v>
      </c>
      <c r="AK34" s="1">
        <f t="shared" si="16"/>
        <v>0.5624</v>
      </c>
      <c r="AL34" s="1">
        <f t="shared" si="17"/>
        <v>0.2982</v>
      </c>
      <c r="AM34" s="1">
        <f t="shared" si="18"/>
        <v>0.5289</v>
      </c>
      <c r="AN34" s="1">
        <f t="shared" si="19"/>
        <v>0.2146</v>
      </c>
      <c r="AO34" s="1">
        <f t="shared" si="20"/>
        <v>0.0093</v>
      </c>
      <c r="AP34" s="1">
        <f t="shared" si="21"/>
        <v>0.0017</v>
      </c>
      <c r="AQ34" s="1">
        <f t="shared" si="22"/>
        <v>0.0073</v>
      </c>
      <c r="AR34" s="1">
        <f t="shared" si="23"/>
        <v>0.0065</v>
      </c>
      <c r="AS34" s="1">
        <f t="shared" si="24"/>
        <v>0.0174</v>
      </c>
      <c r="AT34" s="1">
        <f t="shared" si="25"/>
        <v>0.5696</v>
      </c>
      <c r="AU34" s="1">
        <f t="shared" si="26"/>
        <v>0.008</v>
      </c>
      <c r="AV34" s="1">
        <f t="shared" si="27"/>
        <v>0.0028</v>
      </c>
      <c r="AW34" s="4">
        <f t="shared" si="28"/>
        <v>0.0481</v>
      </c>
      <c r="BA34" s="1">
        <f t="shared" si="39"/>
        <v>0.00235970629675025</v>
      </c>
      <c r="BB34" s="1">
        <f t="shared" si="2"/>
        <v>0.0192036417793014</v>
      </c>
      <c r="BC34" s="1">
        <f t="shared" si="3"/>
        <v>0.0115647747119128</v>
      </c>
      <c r="BD34" s="1">
        <f t="shared" ref="BD34:BV34" si="94">AD34/SUM(AD$2:AD$91)</f>
        <v>0.0179809311773083</v>
      </c>
      <c r="BE34" s="1">
        <f t="shared" si="94"/>
        <v>0.00520380726488299</v>
      </c>
      <c r="BF34" s="1">
        <f t="shared" si="94"/>
        <v>0.00216866882721314</v>
      </c>
      <c r="BG34" s="1">
        <f t="shared" si="94"/>
        <v>0.0185037570810615</v>
      </c>
      <c r="BH34" s="1">
        <f t="shared" si="94"/>
        <v>0.0010345327015787</v>
      </c>
      <c r="BI34" s="1">
        <f t="shared" si="94"/>
        <v>0.00074095513748191</v>
      </c>
      <c r="BJ34" s="1">
        <f t="shared" si="94"/>
        <v>0.00159770490273826</v>
      </c>
      <c r="BK34" s="1">
        <f t="shared" si="94"/>
        <v>0.0107644604371627</v>
      </c>
      <c r="BL34" s="1">
        <f t="shared" si="94"/>
        <v>0.0113217432902915</v>
      </c>
      <c r="BM34" s="1">
        <f t="shared" si="94"/>
        <v>0.0138718772539506</v>
      </c>
      <c r="BN34" s="1">
        <f t="shared" si="94"/>
        <v>0.00931710726829882</v>
      </c>
      <c r="BO34" s="1">
        <f t="shared" si="94"/>
        <v>0.00119485057943829</v>
      </c>
      <c r="BP34" s="1">
        <f t="shared" si="94"/>
        <v>0.000275187775187775</v>
      </c>
      <c r="BQ34" s="1">
        <f t="shared" si="94"/>
        <v>0.00215351938167444</v>
      </c>
      <c r="BR34" s="1">
        <f t="shared" si="94"/>
        <v>0.000719201575604682</v>
      </c>
      <c r="BS34" s="1">
        <f t="shared" si="94"/>
        <v>0.00175994012157747</v>
      </c>
      <c r="BT34" s="1">
        <f t="shared" si="94"/>
        <v>0.0156769923073747</v>
      </c>
      <c r="BU34" s="1">
        <f t="shared" si="94"/>
        <v>0.000852178914963196</v>
      </c>
      <c r="BV34" s="1">
        <f t="shared" si="94"/>
        <v>0.000372157316214097</v>
      </c>
      <c r="CA34" s="1">
        <f t="shared" si="30"/>
        <v>-6.04921811821878</v>
      </c>
      <c r="CB34" s="1">
        <f t="shared" ref="CB34:CV34" si="95">IF(BB34=0,0,LN(BB34))</f>
        <v>-3.95265534192934</v>
      </c>
      <c r="CC34" s="1">
        <f t="shared" si="95"/>
        <v>-4.45979146365166</v>
      </c>
      <c r="CD34" s="1">
        <f t="shared" si="95"/>
        <v>-4.018443461663</v>
      </c>
      <c r="CE34" s="1">
        <f t="shared" si="95"/>
        <v>-5.25836475497411</v>
      </c>
      <c r="CF34" s="1">
        <f t="shared" si="95"/>
        <v>-6.13364174334391</v>
      </c>
      <c r="CG34" s="1">
        <f t="shared" si="95"/>
        <v>-3.98978148205413</v>
      </c>
      <c r="CH34" s="1">
        <f t="shared" si="95"/>
        <v>-6.87380545027907</v>
      </c>
      <c r="CI34" s="1">
        <f t="shared" si="95"/>
        <v>-7.2075704777103</v>
      </c>
      <c r="CJ34" s="1">
        <f t="shared" si="95"/>
        <v>-6.4391871153129</v>
      </c>
      <c r="CK34" s="1">
        <f t="shared" si="95"/>
        <v>-4.53150527137619</v>
      </c>
      <c r="CL34" s="1">
        <f t="shared" si="95"/>
        <v>-4.48103021715488</v>
      </c>
      <c r="CM34" s="1">
        <f t="shared" si="95"/>
        <v>-4.27789170745841</v>
      </c>
      <c r="CN34" s="1">
        <f t="shared" si="95"/>
        <v>-4.67590307740004</v>
      </c>
      <c r="CO34" s="1">
        <f t="shared" si="95"/>
        <v>-6.72973413954353</v>
      </c>
      <c r="CP34" s="1">
        <f t="shared" si="95"/>
        <v>-8.1980568744478</v>
      </c>
      <c r="CQ34" s="1">
        <f t="shared" si="95"/>
        <v>-6.14065185342961</v>
      </c>
      <c r="CR34" s="1">
        <f t="shared" si="95"/>
        <v>-7.23736888403523</v>
      </c>
      <c r="CS34" s="1">
        <f t="shared" si="95"/>
        <v>-6.34247549234181</v>
      </c>
      <c r="CT34" s="1">
        <f t="shared" si="95"/>
        <v>-4.15556109959085</v>
      </c>
      <c r="CU34" s="1">
        <f t="shared" si="95"/>
        <v>-7.06771405909237</v>
      </c>
      <c r="CV34" s="1">
        <f t="shared" si="95"/>
        <v>-7.89619390003654</v>
      </c>
    </row>
    <row r="35" spans="1:100">
      <c r="A35" s="1" t="s">
        <v>31</v>
      </c>
      <c r="B35" s="1">
        <v>2023</v>
      </c>
      <c r="C35" s="1">
        <v>1266.03</v>
      </c>
      <c r="D35" s="1">
        <v>118133</v>
      </c>
      <c r="E35" s="2">
        <v>6</v>
      </c>
      <c r="F35" s="1">
        <v>39.51</v>
      </c>
      <c r="G35" s="1">
        <v>51.01</v>
      </c>
      <c r="H35" s="3">
        <v>90.2</v>
      </c>
      <c r="I35" s="1">
        <f t="shared" si="38"/>
        <v>8413</v>
      </c>
      <c r="J35" s="3">
        <v>0.1</v>
      </c>
      <c r="K35" s="1">
        <v>8.33</v>
      </c>
      <c r="L35" s="3">
        <v>423.3</v>
      </c>
      <c r="M35" s="1">
        <f t="shared" si="0"/>
        <v>39480</v>
      </c>
      <c r="N35" s="1">
        <v>42996</v>
      </c>
      <c r="O35" s="1">
        <v>24926</v>
      </c>
      <c r="P35" s="1">
        <v>111346</v>
      </c>
      <c r="Q35" s="1">
        <v>120.13</v>
      </c>
      <c r="R35" s="1">
        <v>2.75</v>
      </c>
      <c r="S35" s="1">
        <v>39.71</v>
      </c>
      <c r="T35" s="1">
        <v>1008</v>
      </c>
      <c r="U35" s="1">
        <v>107.22</v>
      </c>
      <c r="V35" s="3">
        <v>67.9</v>
      </c>
      <c r="W35" s="1">
        <v>1.77</v>
      </c>
      <c r="X35" s="3">
        <v>6.2</v>
      </c>
      <c r="Y35" s="3"/>
      <c r="Z35" s="3"/>
      <c r="AA35" s="1">
        <f t="shared" ref="AA35:AA66" si="96">ROUND((C35-MIN(C$2:C$91))/(MAX(C$2:C$91)-MIN(C$2:C$91)),4)</f>
        <v>0.0206</v>
      </c>
      <c r="AB35" s="1">
        <f t="shared" ref="AB35:AB66" si="97">ROUND((D35-MIN(D$2:D$91))/(MAX(D$2:D$91)-MIN(D$2:D$91)),4)</f>
        <v>0.6834</v>
      </c>
      <c r="AC35" s="1">
        <f t="shared" ref="AC35:AC66" si="98">ROUND((E35-MIN(E$2:E$91))/(MAX(E$2:E$91)-MIN(E$2:E$91)),4)</f>
        <v>0.594</v>
      </c>
      <c r="AD35" s="1">
        <f t="shared" ref="AD35:AD66" si="99">ROUND((F35-MIN(F$2:F$91))/(MAX(F$2:F$91)-MIN(F$2:F$91)),4)</f>
        <v>0.6505</v>
      </c>
      <c r="AE35" s="1">
        <f t="shared" ref="AE35:AE66" si="100">ROUND((G35-MIN(G$2:G$91))/(MAX(G$2:G$91)-MIN(G$2:G$91)),4)</f>
        <v>0.3841</v>
      </c>
      <c r="AF35" s="1">
        <f t="shared" ref="AF35:AF66" si="101">ROUND((H35-MIN(H$2:H$91))/(MAX(H$2:H$91)-MIN(H$2:H$91)),4)</f>
        <v>0.022</v>
      </c>
      <c r="AG35" s="1">
        <f t="shared" ref="AG35:AG66" si="102">ROUND((I35-MIN(I$2:I$91))/(MAX(I$2:I$91)-MIN(I$2:I$91)),4)</f>
        <v>0.6625</v>
      </c>
      <c r="AH35" s="1">
        <f t="shared" ref="AH35:AH66" si="103">ROUND((J35-MIN(J$2:J$91))/(MAX(J$2:J$91)-MIN(J$2:J$91)),4)</f>
        <v>0.0008</v>
      </c>
      <c r="AI35" s="1">
        <f t="shared" ref="AI35:AI66" si="104">ROUND((K35-MIN(K$2:K$91))/(MAX(K$2:K$91)-MIN(K$2:K$91)),4)</f>
        <v>0.0084</v>
      </c>
      <c r="AJ35" s="1">
        <f t="shared" ref="AJ35:AJ66" si="105">ROUND((L35-MIN(L$2:L$91))/(MAX(L$2:L$91)-MIN(L$2:L$91)),4)</f>
        <v>0.015</v>
      </c>
      <c r="AK35" s="1">
        <f t="shared" ref="AK35:AK66" si="106">ROUND((M35-MIN(M$2:M$91))/(MAX(M$2:M$91)-MIN(M$2:M$91)),4)</f>
        <v>0.6167</v>
      </c>
      <c r="AL35" s="1">
        <f t="shared" ref="AL35:AL66" si="107">ROUND((N35-MIN(N$2:N$91))/(MAX(N$2:N$91)-MIN(N$2:N$91)),4)</f>
        <v>0.3676</v>
      </c>
      <c r="AM35" s="1">
        <f t="shared" ref="AM35:AM66" si="108">ROUND((O35-MIN(O$2:O$91))/(MAX(O$2:O$91)-MIN(O$2:O$91)),4)</f>
        <v>0.6109</v>
      </c>
      <c r="AN35" s="1">
        <f t="shared" ref="AN35:AN66" si="109">ROUND((P35-MIN(P$2:P$91))/(MAX(P$2:P$91)-MIN(P$2:P$91)),4)</f>
        <v>0.2572</v>
      </c>
      <c r="AO35" s="1">
        <f t="shared" ref="AO35:AO66" si="110">ROUND((Q35-MIN(Q$2:Q$91))/(MAX(Q$2:Q$91)-MIN(Q$2:Q$91)),4)</f>
        <v>0.0131</v>
      </c>
      <c r="AP35" s="1">
        <f t="shared" ref="AP35:AP66" si="111">ROUND((R35-MIN(R$2:R$91))/(MAX(R$2:R$91)-MIN(R$2:R$91)),4)</f>
        <v>0.0024</v>
      </c>
      <c r="AQ35" s="1">
        <f t="shared" ref="AQ35:AQ66" si="112">ROUND((S35-MIN(S$2:S$91))/(MAX(S$2:S$91)-MIN(S$2:S$91)),4)</f>
        <v>0.0083</v>
      </c>
      <c r="AR35" s="1">
        <f t="shared" ref="AR35:AR66" si="113">ROUND((T35-MIN(T$2:T$91))/(MAX(T$2:T$91)-MIN(T$2:T$91)),4)</f>
        <v>0.01</v>
      </c>
      <c r="AS35" s="1">
        <f t="shared" ref="AS35:AS66" si="114">ROUND((U35-MIN(U$2:U$91))/(MAX(U$2:U$91)-MIN(U$2:U$91)),4)</f>
        <v>0.0174</v>
      </c>
      <c r="AT35" s="1">
        <f t="shared" ref="AT35:AT66" si="115">ROUND((V35-MIN(V$2:V$91))/(MAX(V$2:V$91)-MIN(V$2:V$91)),4)</f>
        <v>0.5888</v>
      </c>
      <c r="AU35" s="1">
        <f t="shared" ref="AU35:AU66" si="116">ROUND((W35-MIN(W$2:W$91))/(MAX(W$2:W$91)-MIN(W$2:W$91)),4)</f>
        <v>0.0082</v>
      </c>
      <c r="AV35" s="1">
        <f t="shared" ref="AV35:AV66" si="117">ROUND((X35-MIN(X$2:X$91))/(MAX(X$2:X$91)-MIN(X$2:X$91)),4)</f>
        <v>0.0129</v>
      </c>
      <c r="AW35" s="4">
        <f t="shared" ref="AW35:AW66" si="118">ROUND(AA35*$AA$95+AB35*$AB$95+AC35*$AC$95+AD35*$AD$95+AE35*$AE$95+AF35*$AF$95+AG35*$AG$95+AH35*$AH$95+AI35*$AI$95+AJ35*$AJ$95+AK35*$AK$95+AL35*$AL$95+AM35*$AM$95+AN35*$AN$95+AO35*$AO$95+AP35*$AP$95+AQ35*$AQ$95+AR35*$AR$95+AS35*$AS$95+AT35*$AT$95+AU35*$AU$95+AV35*$AV$95,4)</f>
        <v>0.0553</v>
      </c>
      <c r="BA35" s="1">
        <f t="shared" si="39"/>
        <v>0.00235970629675025</v>
      </c>
      <c r="BB35" s="1">
        <f t="shared" si="2"/>
        <v>0.0192036417793014</v>
      </c>
      <c r="BC35" s="1">
        <f t="shared" si="3"/>
        <v>0.0122625422686116</v>
      </c>
      <c r="BD35" s="1">
        <f t="shared" ref="BD35:BV35" si="119">AD35/SUM(AD$2:AD$91)</f>
        <v>0.0117553725938081</v>
      </c>
      <c r="BE35" s="1">
        <f t="shared" si="119"/>
        <v>0.0130896029498465</v>
      </c>
      <c r="BF35" s="1">
        <f t="shared" si="119"/>
        <v>0.00268037720217354</v>
      </c>
      <c r="BG35" s="1">
        <f t="shared" si="119"/>
        <v>0.0234706855565829</v>
      </c>
      <c r="BH35" s="1">
        <f t="shared" si="119"/>
        <v>0.000165525232252591</v>
      </c>
      <c r="BI35" s="1">
        <f t="shared" si="119"/>
        <v>0.000972503617945007</v>
      </c>
      <c r="BJ35" s="1">
        <f t="shared" si="119"/>
        <v>0.00174931193730466</v>
      </c>
      <c r="BK35" s="1">
        <f t="shared" si="119"/>
        <v>0.0118037744516327</v>
      </c>
      <c r="BL35" s="1">
        <f t="shared" si="119"/>
        <v>0.0139566493410837</v>
      </c>
      <c r="BM35" s="1">
        <f t="shared" si="119"/>
        <v>0.0160225558979739</v>
      </c>
      <c r="BN35" s="1">
        <f t="shared" si="119"/>
        <v>0.0111666355517542</v>
      </c>
      <c r="BO35" s="1">
        <f t="shared" si="119"/>
        <v>0.00168306909576792</v>
      </c>
      <c r="BP35" s="1">
        <f t="shared" si="119"/>
        <v>0.000388500388500388</v>
      </c>
      <c r="BQ35" s="1">
        <f t="shared" si="119"/>
        <v>0.00244852203669833</v>
      </c>
      <c r="BR35" s="1">
        <f t="shared" si="119"/>
        <v>0.00110646396246874</v>
      </c>
      <c r="BS35" s="1">
        <f t="shared" si="119"/>
        <v>0.00175994012157747</v>
      </c>
      <c r="BT35" s="1">
        <f t="shared" si="119"/>
        <v>0.0162054302503199</v>
      </c>
      <c r="BU35" s="1">
        <f t="shared" si="119"/>
        <v>0.000873483387837276</v>
      </c>
      <c r="BV35" s="1">
        <f t="shared" si="119"/>
        <v>0.00171458192112923</v>
      </c>
      <c r="CA35" s="1">
        <f t="shared" ref="CA35:CA66" si="120">IF(BA35=0,0,LN(BA35))</f>
        <v>-6.04921811821878</v>
      </c>
      <c r="CB35" s="1">
        <f t="shared" ref="CB35:CV35" si="121">IF(BB35=0,0,LN(BB35))</f>
        <v>-3.95265534192934</v>
      </c>
      <c r="CC35" s="1">
        <f t="shared" si="121"/>
        <v>-4.40120600711502</v>
      </c>
      <c r="CD35" s="1">
        <f t="shared" si="121"/>
        <v>-4.44344490086903</v>
      </c>
      <c r="CE35" s="1">
        <f t="shared" si="121"/>
        <v>-4.33593703184683</v>
      </c>
      <c r="CF35" s="1">
        <f t="shared" si="121"/>
        <v>-5.92179774728363</v>
      </c>
      <c r="CG35" s="1">
        <f t="shared" si="121"/>
        <v>-3.75200305963601</v>
      </c>
      <c r="CH35" s="1">
        <f t="shared" si="121"/>
        <v>-8.70638691402738</v>
      </c>
      <c r="CI35" s="1">
        <f t="shared" si="121"/>
        <v>-6.93563676222666</v>
      </c>
      <c r="CJ35" s="1">
        <f t="shared" si="121"/>
        <v>-6.34853274704477</v>
      </c>
      <c r="CK35" s="1">
        <f t="shared" si="121"/>
        <v>-4.4393359298752</v>
      </c>
      <c r="CL35" s="1">
        <f t="shared" si="121"/>
        <v>-4.27179922900399</v>
      </c>
      <c r="CM35" s="1">
        <f t="shared" si="121"/>
        <v>-4.13375780587462</v>
      </c>
      <c r="CN35" s="1">
        <f t="shared" si="121"/>
        <v>-4.49482491523318</v>
      </c>
      <c r="CO35" s="1">
        <f t="shared" si="121"/>
        <v>-6.38713630949564</v>
      </c>
      <c r="CP35" s="1">
        <f t="shared" si="121"/>
        <v>-7.85321638815607</v>
      </c>
      <c r="CQ35" s="1">
        <f t="shared" si="121"/>
        <v>-6.0122706867814</v>
      </c>
      <c r="CR35" s="1">
        <f t="shared" si="121"/>
        <v>-6.80658596794278</v>
      </c>
      <c r="CS35" s="1">
        <f t="shared" si="121"/>
        <v>-6.34247549234181</v>
      </c>
      <c r="CT35" s="1">
        <f t="shared" si="121"/>
        <v>-4.12240889227395</v>
      </c>
      <c r="CU35" s="1">
        <f t="shared" si="121"/>
        <v>-7.043021446502</v>
      </c>
      <c r="CV35" s="1">
        <f t="shared" si="121"/>
        <v>-6.36858600585007</v>
      </c>
    </row>
    <row r="36" spans="1:100">
      <c r="A36" s="1" t="s">
        <v>31</v>
      </c>
      <c r="B36" s="1">
        <v>2024</v>
      </c>
      <c r="C36" s="3">
        <v>1341.3</v>
      </c>
      <c r="D36" s="1">
        <v>125028</v>
      </c>
      <c r="E36" s="1">
        <v>6.5</v>
      </c>
      <c r="F36" s="1">
        <v>42.36</v>
      </c>
      <c r="G36" s="1">
        <v>48.94</v>
      </c>
      <c r="H36" s="1">
        <v>101.52</v>
      </c>
      <c r="I36" s="1">
        <f t="shared" si="38"/>
        <v>9463</v>
      </c>
      <c r="J36" s="1">
        <v>0.12</v>
      </c>
      <c r="K36" s="1">
        <v>11.08</v>
      </c>
      <c r="L36" s="1">
        <v>443.67</v>
      </c>
      <c r="M36" s="1">
        <f t="shared" si="0"/>
        <v>41356</v>
      </c>
      <c r="N36" s="1">
        <v>44939</v>
      </c>
      <c r="O36" s="1">
        <v>26574</v>
      </c>
      <c r="P36" s="1">
        <v>120656</v>
      </c>
      <c r="Q36" s="1">
        <v>130.76</v>
      </c>
      <c r="R36" s="1">
        <v>2.75</v>
      </c>
      <c r="S36" s="1">
        <v>43.67</v>
      </c>
      <c r="T36" s="1">
        <v>1112</v>
      </c>
      <c r="U36" s="1">
        <v>107.28</v>
      </c>
      <c r="V36" s="1">
        <v>69.15</v>
      </c>
      <c r="W36" s="1">
        <v>1.77</v>
      </c>
      <c r="X36" s="1">
        <v>5.16</v>
      </c>
      <c r="AA36" s="1">
        <f t="shared" si="96"/>
        <v>0.0218</v>
      </c>
      <c r="AB36" s="1">
        <f t="shared" si="97"/>
        <v>0.7386</v>
      </c>
      <c r="AC36" s="1">
        <f t="shared" si="98"/>
        <v>0.6128</v>
      </c>
      <c r="AD36" s="1">
        <f t="shared" si="99"/>
        <v>0.76</v>
      </c>
      <c r="AE36" s="1">
        <f t="shared" si="100"/>
        <v>0.3072</v>
      </c>
      <c r="AF36" s="1">
        <f t="shared" si="101"/>
        <v>0.0248</v>
      </c>
      <c r="AG36" s="1">
        <f t="shared" si="102"/>
        <v>0.7593</v>
      </c>
      <c r="AH36" s="1">
        <f t="shared" si="103"/>
        <v>0.001</v>
      </c>
      <c r="AI36" s="1">
        <f t="shared" si="104"/>
        <v>0.0112</v>
      </c>
      <c r="AJ36" s="1">
        <f t="shared" si="105"/>
        <v>0.0158</v>
      </c>
      <c r="AK36" s="1">
        <f t="shared" si="106"/>
        <v>0.6479</v>
      </c>
      <c r="AL36" s="1">
        <f t="shared" si="107"/>
        <v>0.4251</v>
      </c>
      <c r="AM36" s="1">
        <f t="shared" si="108"/>
        <v>0.6855</v>
      </c>
      <c r="AN36" s="1">
        <f t="shared" si="109"/>
        <v>0.295</v>
      </c>
      <c r="AO36" s="1">
        <f t="shared" si="110"/>
        <v>0.0142</v>
      </c>
      <c r="AP36" s="1">
        <f t="shared" si="111"/>
        <v>0.0024</v>
      </c>
      <c r="AQ36" s="1">
        <f t="shared" si="112"/>
        <v>0.0092</v>
      </c>
      <c r="AR36" s="1">
        <f t="shared" si="113"/>
        <v>0.0112</v>
      </c>
      <c r="AS36" s="1">
        <f t="shared" si="114"/>
        <v>0.0174</v>
      </c>
      <c r="AT36" s="1">
        <f t="shared" si="115"/>
        <v>0.6189</v>
      </c>
      <c r="AU36" s="1">
        <f t="shared" si="116"/>
        <v>0.0082</v>
      </c>
      <c r="AV36" s="1">
        <f t="shared" si="117"/>
        <v>0.0105</v>
      </c>
      <c r="AW36" s="4">
        <f t="shared" si="118"/>
        <v>0.0593</v>
      </c>
      <c r="BA36" s="1">
        <f t="shared" si="39"/>
        <v>0.00249716491597842</v>
      </c>
      <c r="BB36" s="1">
        <f t="shared" si="2"/>
        <v>0.020754770000281</v>
      </c>
      <c r="BC36" s="1">
        <f t="shared" si="3"/>
        <v>0.0126506496670121</v>
      </c>
      <c r="BD36" s="1">
        <f t="shared" ref="BD36:BV36" si="122">AD36/SUM(AD$2:AD$91)</f>
        <v>0.0137341785876927</v>
      </c>
      <c r="BE36" s="1">
        <f t="shared" si="122"/>
        <v>0.0104689560692342</v>
      </c>
      <c r="BF36" s="1">
        <f t="shared" si="122"/>
        <v>0.00302151611881381</v>
      </c>
      <c r="BG36" s="1">
        <f t="shared" si="122"/>
        <v>0.0269000627065863</v>
      </c>
      <c r="BH36" s="1">
        <f t="shared" si="122"/>
        <v>0.000206906540315739</v>
      </c>
      <c r="BI36" s="1">
        <f t="shared" si="122"/>
        <v>0.00129667149059334</v>
      </c>
      <c r="BJ36" s="1">
        <f t="shared" si="122"/>
        <v>0.00184260857396091</v>
      </c>
      <c r="BK36" s="1">
        <f t="shared" si="122"/>
        <v>0.0124009493549745</v>
      </c>
      <c r="BL36" s="1">
        <f t="shared" si="122"/>
        <v>0.0161397487347515</v>
      </c>
      <c r="BM36" s="1">
        <f t="shared" si="122"/>
        <v>0.0179791489082683</v>
      </c>
      <c r="BN36" s="1">
        <f t="shared" si="122"/>
        <v>0.0128077662821442</v>
      </c>
      <c r="BO36" s="1">
        <f t="shared" si="122"/>
        <v>0.00182439550838965</v>
      </c>
      <c r="BP36" s="1">
        <f t="shared" si="122"/>
        <v>0.000388500388500388</v>
      </c>
      <c r="BQ36" s="1">
        <f t="shared" si="122"/>
        <v>0.00271402442621984</v>
      </c>
      <c r="BR36" s="1">
        <f t="shared" si="122"/>
        <v>0.00123923963796499</v>
      </c>
      <c r="BS36" s="1">
        <f t="shared" si="122"/>
        <v>0.00175994012157747</v>
      </c>
      <c r="BT36" s="1">
        <f t="shared" si="122"/>
        <v>0.0170338668171247</v>
      </c>
      <c r="BU36" s="1">
        <f t="shared" si="122"/>
        <v>0.000873483387837276</v>
      </c>
      <c r="BV36" s="1">
        <f t="shared" si="122"/>
        <v>0.00139558993580286</v>
      </c>
      <c r="CA36" s="1">
        <f t="shared" si="120"/>
        <v>-5.99259922421928</v>
      </c>
      <c r="CB36" s="1">
        <f t="shared" ref="CB36:CV36" si="123">IF(BB36=0,0,LN(BB36))</f>
        <v>-3.87497917919207</v>
      </c>
      <c r="CC36" s="1">
        <f t="shared" si="123"/>
        <v>-4.37004670805128</v>
      </c>
      <c r="CD36" s="1">
        <f t="shared" si="123"/>
        <v>-4.28786776554122</v>
      </c>
      <c r="CE36" s="1">
        <f t="shared" si="123"/>
        <v>-4.55934096592518</v>
      </c>
      <c r="CF36" s="1">
        <f t="shared" si="123"/>
        <v>-5.80199654747101</v>
      </c>
      <c r="CG36" s="1">
        <f t="shared" si="123"/>
        <v>-3.6156266612772</v>
      </c>
      <c r="CH36" s="1">
        <f t="shared" si="123"/>
        <v>-8.48324336271317</v>
      </c>
      <c r="CI36" s="1">
        <f t="shared" si="123"/>
        <v>-6.64795468977488</v>
      </c>
      <c r="CJ36" s="1">
        <f t="shared" si="123"/>
        <v>-6.29657300811406</v>
      </c>
      <c r="CK36" s="1">
        <f t="shared" si="123"/>
        <v>-4.38998224841674</v>
      </c>
      <c r="CL36" s="1">
        <f t="shared" si="123"/>
        <v>-4.12647018412077</v>
      </c>
      <c r="CM36" s="1">
        <f t="shared" si="123"/>
        <v>-4.01854258652797</v>
      </c>
      <c r="CN36" s="1">
        <f t="shared" si="123"/>
        <v>-4.35770355125682</v>
      </c>
      <c r="CO36" s="1">
        <f t="shared" si="123"/>
        <v>-6.30650657509553</v>
      </c>
      <c r="CP36" s="1">
        <f t="shared" si="123"/>
        <v>-7.85321638815607</v>
      </c>
      <c r="CQ36" s="1">
        <f t="shared" si="123"/>
        <v>-5.90932271752896</v>
      </c>
      <c r="CR36" s="1">
        <f t="shared" si="123"/>
        <v>-6.69325728263578</v>
      </c>
      <c r="CS36" s="1">
        <f t="shared" si="123"/>
        <v>-6.34247549234181</v>
      </c>
      <c r="CT36" s="1">
        <f t="shared" si="123"/>
        <v>-4.0725517509433</v>
      </c>
      <c r="CU36" s="1">
        <f t="shared" si="123"/>
        <v>-7.043021446502</v>
      </c>
      <c r="CV36" s="1">
        <f t="shared" si="123"/>
        <v>-6.57443806005422</v>
      </c>
    </row>
    <row r="37" spans="1:100">
      <c r="A37" s="1" t="s">
        <v>32</v>
      </c>
      <c r="B37" s="1">
        <v>2020</v>
      </c>
      <c r="C37" s="1">
        <v>1906.41</v>
      </c>
      <c r="D37" s="1">
        <v>69395</v>
      </c>
      <c r="E37" s="2">
        <v>-5</v>
      </c>
      <c r="F37" s="1">
        <v>44.53</v>
      </c>
      <c r="G37" s="1">
        <v>42.28</v>
      </c>
      <c r="H37" s="1">
        <v>79.84</v>
      </c>
      <c r="I37" s="1">
        <f t="shared" si="38"/>
        <v>3074</v>
      </c>
      <c r="J37" s="1">
        <v>1.25</v>
      </c>
      <c r="K37" s="1">
        <v>12.53</v>
      </c>
      <c r="L37" s="1">
        <v>756.78</v>
      </c>
      <c r="M37" s="1">
        <f t="shared" si="0"/>
        <v>29142</v>
      </c>
      <c r="N37" s="1">
        <v>35958</v>
      </c>
      <c r="O37" s="1">
        <v>19980</v>
      </c>
      <c r="P37" s="1">
        <v>94321</v>
      </c>
      <c r="Q37" s="1">
        <v>87.57</v>
      </c>
      <c r="R37" s="1">
        <v>4.93</v>
      </c>
      <c r="S37" s="1">
        <v>21.39</v>
      </c>
      <c r="T37" s="1">
        <v>2047</v>
      </c>
      <c r="U37" s="1">
        <v>259.69</v>
      </c>
      <c r="V37" s="1">
        <v>58.73</v>
      </c>
      <c r="W37" s="1">
        <v>2.28</v>
      </c>
      <c r="X37" s="1">
        <v>9.53</v>
      </c>
      <c r="AA37" s="1">
        <f t="shared" si="96"/>
        <v>0.0313</v>
      </c>
      <c r="AB37" s="1">
        <f t="shared" si="97"/>
        <v>0.2938</v>
      </c>
      <c r="AC37" s="1">
        <f t="shared" si="98"/>
        <v>0.1805</v>
      </c>
      <c r="AD37" s="1">
        <f t="shared" si="99"/>
        <v>0.8433</v>
      </c>
      <c r="AE37" s="1">
        <f t="shared" si="100"/>
        <v>0.0598</v>
      </c>
      <c r="AF37" s="1">
        <f t="shared" si="101"/>
        <v>0.0193</v>
      </c>
      <c r="AG37" s="1">
        <f t="shared" si="102"/>
        <v>0.1702</v>
      </c>
      <c r="AH37" s="1">
        <f t="shared" si="103"/>
        <v>0.01</v>
      </c>
      <c r="AI37" s="1">
        <f t="shared" si="104"/>
        <v>0.0126</v>
      </c>
      <c r="AJ37" s="1">
        <f t="shared" si="105"/>
        <v>0.0273</v>
      </c>
      <c r="AK37" s="1">
        <f t="shared" si="106"/>
        <v>0.4444</v>
      </c>
      <c r="AL37" s="1">
        <f t="shared" si="107"/>
        <v>0.1591</v>
      </c>
      <c r="AM37" s="1">
        <f t="shared" si="108"/>
        <v>0.3873</v>
      </c>
      <c r="AN37" s="1">
        <f t="shared" si="109"/>
        <v>0.1879</v>
      </c>
      <c r="AO37" s="1">
        <f t="shared" si="110"/>
        <v>0.0095</v>
      </c>
      <c r="AP37" s="1">
        <f t="shared" si="111"/>
        <v>0.0044</v>
      </c>
      <c r="AQ37" s="1">
        <f t="shared" si="112"/>
        <v>0.0044</v>
      </c>
      <c r="AR37" s="1">
        <f t="shared" si="113"/>
        <v>0.0219</v>
      </c>
      <c r="AS37" s="1">
        <f t="shared" si="114"/>
        <v>0.0435</v>
      </c>
      <c r="AT37" s="1">
        <f t="shared" si="115"/>
        <v>0.3684</v>
      </c>
      <c r="AU37" s="1">
        <f t="shared" si="116"/>
        <v>0.0106</v>
      </c>
      <c r="AV37" s="1">
        <f t="shared" si="117"/>
        <v>0.0206</v>
      </c>
      <c r="AW37" s="4">
        <f t="shared" si="118"/>
        <v>0.0368</v>
      </c>
      <c r="BA37" s="1">
        <f t="shared" si="39"/>
        <v>0.0035853789848681</v>
      </c>
      <c r="BB37" s="1">
        <f t="shared" si="2"/>
        <v>0.00825582375586591</v>
      </c>
      <c r="BC37" s="1">
        <f t="shared" si="3"/>
        <v>0.00372624390485588</v>
      </c>
      <c r="BD37" s="1">
        <f t="shared" ref="BD37:BV37" si="124">AD37/SUM(AD$2:AD$91)</f>
        <v>0.0152395168460543</v>
      </c>
      <c r="BE37" s="1">
        <f t="shared" si="124"/>
        <v>0.00203790225566472</v>
      </c>
      <c r="BF37" s="1">
        <f t="shared" si="124"/>
        <v>0.00235142181827043</v>
      </c>
      <c r="BG37" s="1">
        <f t="shared" si="124"/>
        <v>0.00602975197242327</v>
      </c>
      <c r="BH37" s="1">
        <f t="shared" si="124"/>
        <v>0.00206906540315739</v>
      </c>
      <c r="BI37" s="1">
        <f t="shared" si="124"/>
        <v>0.00145875542691751</v>
      </c>
      <c r="BJ37" s="1">
        <f t="shared" si="124"/>
        <v>0.00318374772589448</v>
      </c>
      <c r="BK37" s="1">
        <f t="shared" si="124"/>
        <v>0.00850591432836964</v>
      </c>
      <c r="BL37" s="1">
        <f t="shared" si="124"/>
        <v>0.00604054110491406</v>
      </c>
      <c r="BM37" s="1">
        <f t="shared" si="124"/>
        <v>0.010158022424759</v>
      </c>
      <c r="BN37" s="1">
        <f t="shared" si="124"/>
        <v>0.00815789587937255</v>
      </c>
      <c r="BO37" s="1">
        <f t="shared" si="124"/>
        <v>0.00122054629082406</v>
      </c>
      <c r="BP37" s="1">
        <f t="shared" si="124"/>
        <v>0.000712250712250712</v>
      </c>
      <c r="BQ37" s="1">
        <f t="shared" si="124"/>
        <v>0.00129801168210514</v>
      </c>
      <c r="BR37" s="1">
        <f t="shared" si="124"/>
        <v>0.00242315607780654</v>
      </c>
      <c r="BS37" s="1">
        <f t="shared" si="124"/>
        <v>0.00439985030394368</v>
      </c>
      <c r="BT37" s="1">
        <f t="shared" si="124"/>
        <v>0.0101394030302613</v>
      </c>
      <c r="BU37" s="1">
        <f t="shared" si="124"/>
        <v>0.00112913706232624</v>
      </c>
      <c r="BV37" s="1">
        <f t="shared" si="124"/>
        <v>0.002738014540718</v>
      </c>
      <c r="CA37" s="1">
        <f t="shared" si="120"/>
        <v>-5.63089109646821</v>
      </c>
      <c r="CB37" s="1">
        <f t="shared" ref="CB37:CV37" si="125">IF(BB37=0,0,LN(BB37))</f>
        <v>-4.79683641787075</v>
      </c>
      <c r="CC37" s="1">
        <f t="shared" si="125"/>
        <v>-5.59235454870473</v>
      </c>
      <c r="CD37" s="1">
        <f t="shared" si="125"/>
        <v>-4.183863432241</v>
      </c>
      <c r="CE37" s="1">
        <f t="shared" si="125"/>
        <v>-6.19583430624211</v>
      </c>
      <c r="CF37" s="1">
        <f t="shared" si="125"/>
        <v>-6.05273510473111</v>
      </c>
      <c r="CG37" s="1">
        <f t="shared" si="125"/>
        <v>-5.11104940135711</v>
      </c>
      <c r="CH37" s="1">
        <f t="shared" si="125"/>
        <v>-6.18065826971913</v>
      </c>
      <c r="CI37" s="1">
        <f t="shared" si="125"/>
        <v>-6.53017165411849</v>
      </c>
      <c r="CJ37" s="1">
        <f t="shared" si="125"/>
        <v>-5.74969624595607</v>
      </c>
      <c r="CK37" s="1">
        <f t="shared" si="125"/>
        <v>-4.76699355410717</v>
      </c>
      <c r="CL37" s="1">
        <f t="shared" si="125"/>
        <v>-5.10926168414178</v>
      </c>
      <c r="CM37" s="1">
        <f t="shared" si="125"/>
        <v>-4.58949149900963</v>
      </c>
      <c r="CN37" s="1">
        <f t="shared" si="125"/>
        <v>-4.80876900117722</v>
      </c>
      <c r="CO37" s="1">
        <f t="shared" si="125"/>
        <v>-6.70845674109625</v>
      </c>
      <c r="CP37" s="1">
        <f t="shared" si="125"/>
        <v>-7.24708058458576</v>
      </c>
      <c r="CQ37" s="1">
        <f t="shared" si="125"/>
        <v>-6.64692166065974</v>
      </c>
      <c r="CR37" s="1">
        <f t="shared" si="125"/>
        <v>-6.02268442411437</v>
      </c>
      <c r="CS37" s="1">
        <f t="shared" si="125"/>
        <v>-5.42618476046766</v>
      </c>
      <c r="CT37" s="1">
        <f t="shared" si="125"/>
        <v>-4.59132615530746</v>
      </c>
      <c r="CU37" s="1">
        <f t="shared" si="125"/>
        <v>-6.78630159965419</v>
      </c>
      <c r="CV37" s="1">
        <f t="shared" si="125"/>
        <v>-5.90052224142217</v>
      </c>
    </row>
    <row r="38" spans="1:100">
      <c r="A38" s="1" t="s">
        <v>32</v>
      </c>
      <c r="B38" s="1">
        <v>2021</v>
      </c>
      <c r="C38" s="1">
        <v>2120.86</v>
      </c>
      <c r="D38" s="1">
        <v>82466</v>
      </c>
      <c r="E38" s="1">
        <v>10.8</v>
      </c>
      <c r="F38" s="1">
        <v>41.41</v>
      </c>
      <c r="G38" s="1">
        <v>45.51</v>
      </c>
      <c r="H38" s="1">
        <v>103.17</v>
      </c>
      <c r="I38" s="1">
        <f t="shared" si="38"/>
        <v>4051</v>
      </c>
      <c r="J38" s="1">
        <v>1.54</v>
      </c>
      <c r="K38" s="1">
        <v>20.85</v>
      </c>
      <c r="L38" s="1">
        <v>937.17</v>
      </c>
      <c r="M38" s="1">
        <f t="shared" si="0"/>
        <v>36799</v>
      </c>
      <c r="N38" s="1">
        <v>39159</v>
      </c>
      <c r="O38" s="1">
        <v>22198</v>
      </c>
      <c r="P38" s="1">
        <v>103417</v>
      </c>
      <c r="Q38" s="1">
        <v>72.58</v>
      </c>
      <c r="R38" s="1">
        <v>4.33</v>
      </c>
      <c r="S38" s="1">
        <v>23.17</v>
      </c>
      <c r="T38" s="1">
        <v>2616</v>
      </c>
      <c r="U38" s="1">
        <v>254.67</v>
      </c>
      <c r="V38" s="1">
        <v>59.76</v>
      </c>
      <c r="W38" s="1">
        <v>2.65</v>
      </c>
      <c r="X38" s="1">
        <v>6.58</v>
      </c>
      <c r="AA38" s="1">
        <f t="shared" si="96"/>
        <v>0.0348</v>
      </c>
      <c r="AB38" s="1">
        <f t="shared" si="97"/>
        <v>0.3983</v>
      </c>
      <c r="AC38" s="1">
        <f t="shared" si="98"/>
        <v>0.7744</v>
      </c>
      <c r="AD38" s="1">
        <f t="shared" si="99"/>
        <v>0.7235</v>
      </c>
      <c r="AE38" s="1">
        <f t="shared" si="100"/>
        <v>0.1798</v>
      </c>
      <c r="AF38" s="1">
        <f t="shared" si="101"/>
        <v>0.0253</v>
      </c>
      <c r="AG38" s="1">
        <f t="shared" si="102"/>
        <v>0.2603</v>
      </c>
      <c r="AH38" s="1">
        <f t="shared" si="103"/>
        <v>0.0124</v>
      </c>
      <c r="AI38" s="1">
        <f t="shared" si="104"/>
        <v>0.021</v>
      </c>
      <c r="AJ38" s="1">
        <f t="shared" si="105"/>
        <v>0.0339</v>
      </c>
      <c r="AK38" s="1">
        <f t="shared" si="106"/>
        <v>0.572</v>
      </c>
      <c r="AL38" s="1">
        <f t="shared" si="107"/>
        <v>0.2539</v>
      </c>
      <c r="AM38" s="1">
        <f t="shared" si="108"/>
        <v>0.4876</v>
      </c>
      <c r="AN38" s="1">
        <f t="shared" si="109"/>
        <v>0.2249</v>
      </c>
      <c r="AO38" s="1">
        <f t="shared" si="110"/>
        <v>0.0078</v>
      </c>
      <c r="AP38" s="1">
        <f t="shared" si="111"/>
        <v>0.0038</v>
      </c>
      <c r="AQ38" s="1">
        <f t="shared" si="112"/>
        <v>0.0048</v>
      </c>
      <c r="AR38" s="1">
        <f t="shared" si="113"/>
        <v>0.0285</v>
      </c>
      <c r="AS38" s="1">
        <f t="shared" si="114"/>
        <v>0.0426</v>
      </c>
      <c r="AT38" s="1">
        <f t="shared" si="115"/>
        <v>0.3931</v>
      </c>
      <c r="AU38" s="1">
        <f t="shared" si="116"/>
        <v>0.0123</v>
      </c>
      <c r="AV38" s="1">
        <f t="shared" si="117"/>
        <v>0.0138</v>
      </c>
      <c r="AW38" s="4">
        <f t="shared" si="118"/>
        <v>0.0479</v>
      </c>
      <c r="BA38" s="1">
        <f t="shared" si="39"/>
        <v>0.00398629995761693</v>
      </c>
      <c r="BB38" s="1">
        <f t="shared" si="2"/>
        <v>0.0111922893191334</v>
      </c>
      <c r="BC38" s="1">
        <f t="shared" si="3"/>
        <v>0.0159867217724122</v>
      </c>
      <c r="BD38" s="1">
        <f t="shared" ref="BD38:BV38" si="126">AD38/SUM(AD$2:AD$91)</f>
        <v>0.0130745765897312</v>
      </c>
      <c r="BE38" s="1">
        <f t="shared" si="126"/>
        <v>0.00612733822020931</v>
      </c>
      <c r="BF38" s="1">
        <f t="shared" si="126"/>
        <v>0.00308243378249957</v>
      </c>
      <c r="BG38" s="1">
        <f t="shared" si="126"/>
        <v>0.00922176520811855</v>
      </c>
      <c r="BH38" s="1">
        <f t="shared" si="126"/>
        <v>0.00256564109991517</v>
      </c>
      <c r="BI38" s="1">
        <f t="shared" si="126"/>
        <v>0.00243125904486252</v>
      </c>
      <c r="BJ38" s="1">
        <f t="shared" si="126"/>
        <v>0.00395344497830853</v>
      </c>
      <c r="BK38" s="1">
        <f t="shared" si="126"/>
        <v>0.0109482065612679</v>
      </c>
      <c r="BL38" s="1">
        <f t="shared" si="126"/>
        <v>0.00963980758351779</v>
      </c>
      <c r="BM38" s="1">
        <f t="shared" si="126"/>
        <v>0.0127886695954364</v>
      </c>
      <c r="BN38" s="1">
        <f t="shared" si="126"/>
        <v>0.00976429368425166</v>
      </c>
      <c r="BO38" s="1">
        <f t="shared" si="126"/>
        <v>0.00100213274404502</v>
      </c>
      <c r="BP38" s="1">
        <f t="shared" si="126"/>
        <v>0.000615125615125615</v>
      </c>
      <c r="BQ38" s="1">
        <f t="shared" si="126"/>
        <v>0.0014160127441147</v>
      </c>
      <c r="BR38" s="1">
        <f t="shared" si="126"/>
        <v>0.00315342229303591</v>
      </c>
      <c r="BS38" s="1">
        <f t="shared" si="126"/>
        <v>0.00430881891834485</v>
      </c>
      <c r="BT38" s="1">
        <f t="shared" si="126"/>
        <v>0.0108192164256127</v>
      </c>
      <c r="BU38" s="1">
        <f t="shared" si="126"/>
        <v>0.00131022508175591</v>
      </c>
      <c r="BV38" s="1">
        <f t="shared" si="126"/>
        <v>0.00183420391562662</v>
      </c>
      <c r="CA38" s="1">
        <f t="shared" si="120"/>
        <v>-5.52489180723389</v>
      </c>
      <c r="CB38" s="1">
        <f t="shared" ref="CB38:CV38" si="127">IF(BB38=0,0,LN(BB38))</f>
        <v>-4.49253019142293</v>
      </c>
      <c r="CC38" s="1">
        <f t="shared" si="127"/>
        <v>-4.1359967905153</v>
      </c>
      <c r="CD38" s="1">
        <f t="shared" si="127"/>
        <v>-4.33708565275005</v>
      </c>
      <c r="CE38" s="1">
        <f t="shared" si="127"/>
        <v>-5.09499484516117</v>
      </c>
      <c r="CF38" s="1">
        <f t="shared" si="127"/>
        <v>-5.78203580490847</v>
      </c>
      <c r="CG38" s="1">
        <f t="shared" si="127"/>
        <v>-4.68618880549587</v>
      </c>
      <c r="CH38" s="1">
        <f t="shared" si="127"/>
        <v>-5.96554689010218</v>
      </c>
      <c r="CI38" s="1">
        <f t="shared" si="127"/>
        <v>-6.0193460303525</v>
      </c>
      <c r="CJ38" s="1">
        <f t="shared" si="127"/>
        <v>-5.53316793376058</v>
      </c>
      <c r="CK38" s="1">
        <f t="shared" si="127"/>
        <v>-4.51457962049285</v>
      </c>
      <c r="CL38" s="1">
        <f t="shared" si="127"/>
        <v>-4.64185413077489</v>
      </c>
      <c r="CM38" s="1">
        <f t="shared" si="127"/>
        <v>-4.35919568792322</v>
      </c>
      <c r="CN38" s="1">
        <f t="shared" si="127"/>
        <v>-4.62902304863137</v>
      </c>
      <c r="CO38" s="1">
        <f t="shared" si="127"/>
        <v>-6.9056248060072</v>
      </c>
      <c r="CP38" s="1">
        <f t="shared" si="127"/>
        <v>-7.39368405877763</v>
      </c>
      <c r="CQ38" s="1">
        <f t="shared" si="127"/>
        <v>-6.55991028367011</v>
      </c>
      <c r="CR38" s="1">
        <f t="shared" si="127"/>
        <v>-5.75926697366222</v>
      </c>
      <c r="CS38" s="1">
        <f t="shared" si="127"/>
        <v>-5.44709144528697</v>
      </c>
      <c r="CT38" s="1">
        <f t="shared" si="127"/>
        <v>-4.5264314272608</v>
      </c>
      <c r="CU38" s="1">
        <f t="shared" si="127"/>
        <v>-6.63755633839384</v>
      </c>
      <c r="CV38" s="1">
        <f t="shared" si="127"/>
        <v>-6.30114472505454</v>
      </c>
    </row>
    <row r="39" spans="1:100">
      <c r="A39" s="1" t="s">
        <v>32</v>
      </c>
      <c r="B39" s="1">
        <v>2022</v>
      </c>
      <c r="C39" s="1">
        <v>2200.96</v>
      </c>
      <c r="D39" s="1">
        <v>86407</v>
      </c>
      <c r="E39" s="1">
        <v>1</v>
      </c>
      <c r="F39" s="1">
        <v>41.25</v>
      </c>
      <c r="G39" s="1">
        <v>45.39</v>
      </c>
      <c r="H39" s="1">
        <v>103.17</v>
      </c>
      <c r="I39" s="1">
        <f t="shared" si="38"/>
        <v>4050</v>
      </c>
      <c r="J39" s="1">
        <v>0.35</v>
      </c>
      <c r="K39" s="1">
        <v>29.84</v>
      </c>
      <c r="L39" s="1">
        <v>969.41</v>
      </c>
      <c r="M39" s="1">
        <f t="shared" si="0"/>
        <v>38050</v>
      </c>
      <c r="N39" s="1">
        <v>41273</v>
      </c>
      <c r="O39" s="1">
        <v>23952</v>
      </c>
      <c r="P39" s="1">
        <v>117399</v>
      </c>
      <c r="Q39" s="1">
        <v>117.35</v>
      </c>
      <c r="R39" s="1">
        <v>4.28</v>
      </c>
      <c r="S39" s="1">
        <v>25.33</v>
      </c>
      <c r="T39" s="1">
        <v>2454</v>
      </c>
      <c r="U39" s="1">
        <v>254.77</v>
      </c>
      <c r="V39" s="1">
        <v>60.35</v>
      </c>
      <c r="W39" s="1">
        <v>2.86</v>
      </c>
      <c r="X39" s="1">
        <v>9.65</v>
      </c>
      <c r="AA39" s="1">
        <f t="shared" si="96"/>
        <v>0.0362</v>
      </c>
      <c r="AB39" s="1">
        <f t="shared" si="97"/>
        <v>0.4298</v>
      </c>
      <c r="AC39" s="1">
        <f t="shared" si="98"/>
        <v>0.406</v>
      </c>
      <c r="AD39" s="1">
        <f t="shared" si="99"/>
        <v>0.7174</v>
      </c>
      <c r="AE39" s="1">
        <f t="shared" si="100"/>
        <v>0.1753</v>
      </c>
      <c r="AF39" s="1">
        <f t="shared" si="101"/>
        <v>0.0253</v>
      </c>
      <c r="AG39" s="1">
        <f t="shared" si="102"/>
        <v>0.2602</v>
      </c>
      <c r="AH39" s="1">
        <f t="shared" si="103"/>
        <v>0.0028</v>
      </c>
      <c r="AI39" s="1">
        <f t="shared" si="104"/>
        <v>0.0301</v>
      </c>
      <c r="AJ39" s="1">
        <f t="shared" si="105"/>
        <v>0.0351</v>
      </c>
      <c r="AK39" s="1">
        <f t="shared" si="106"/>
        <v>0.5928</v>
      </c>
      <c r="AL39" s="1">
        <f t="shared" si="107"/>
        <v>0.3165</v>
      </c>
      <c r="AM39" s="1">
        <f t="shared" si="108"/>
        <v>0.5669</v>
      </c>
      <c r="AN39" s="1">
        <f t="shared" si="109"/>
        <v>0.2818</v>
      </c>
      <c r="AO39" s="1">
        <f t="shared" si="110"/>
        <v>0.0128</v>
      </c>
      <c r="AP39" s="1">
        <f t="shared" si="111"/>
        <v>0.0038</v>
      </c>
      <c r="AQ39" s="1">
        <f t="shared" si="112"/>
        <v>0.0053</v>
      </c>
      <c r="AR39" s="1">
        <f t="shared" si="113"/>
        <v>0.0266</v>
      </c>
      <c r="AS39" s="1">
        <f t="shared" si="114"/>
        <v>0.0426</v>
      </c>
      <c r="AT39" s="1">
        <f t="shared" si="115"/>
        <v>0.4073</v>
      </c>
      <c r="AU39" s="1">
        <f t="shared" si="116"/>
        <v>0.0133</v>
      </c>
      <c r="AV39" s="1">
        <f t="shared" si="117"/>
        <v>0.0209</v>
      </c>
      <c r="AW39" s="4">
        <f t="shared" si="118"/>
        <v>0.0489</v>
      </c>
      <c r="BA39" s="1">
        <f t="shared" ref="BA39:BA70" si="128">AA39/SUM(AA$2:AA$91)</f>
        <v>0.00414666834671646</v>
      </c>
      <c r="BB39" s="1">
        <f t="shared" si="2"/>
        <v>0.0120774440104533</v>
      </c>
      <c r="BC39" s="1">
        <f t="shared" si="3"/>
        <v>0.00838146828460658</v>
      </c>
      <c r="BD39" s="1">
        <f t="shared" ref="BD39:BV39" si="129">AD39/SUM(AD$2:AD$91)</f>
        <v>0.0129643417352773</v>
      </c>
      <c r="BE39" s="1">
        <f t="shared" si="129"/>
        <v>0.00597398437153889</v>
      </c>
      <c r="BF39" s="1">
        <f t="shared" si="129"/>
        <v>0.00308243378249957</v>
      </c>
      <c r="BG39" s="1">
        <f t="shared" si="129"/>
        <v>0.00921822246312888</v>
      </c>
      <c r="BH39" s="1">
        <f t="shared" si="129"/>
        <v>0.00057933831288407</v>
      </c>
      <c r="BI39" s="1">
        <f t="shared" si="129"/>
        <v>0.00348480463096961</v>
      </c>
      <c r="BJ39" s="1">
        <f t="shared" si="129"/>
        <v>0.00409338993329291</v>
      </c>
      <c r="BK39" s="1">
        <f t="shared" si="129"/>
        <v>0.0113463231634958</v>
      </c>
      <c r="BL39" s="1">
        <f t="shared" si="129"/>
        <v>0.0120165384016675</v>
      </c>
      <c r="BM39" s="1">
        <f t="shared" si="129"/>
        <v>0.014868533210937</v>
      </c>
      <c r="BN39" s="1">
        <f t="shared" si="129"/>
        <v>0.0122346730112144</v>
      </c>
      <c r="BO39" s="1">
        <f t="shared" si="129"/>
        <v>0.00164452552868926</v>
      </c>
      <c r="BP39" s="1">
        <f t="shared" si="129"/>
        <v>0.000615125615125615</v>
      </c>
      <c r="BQ39" s="1">
        <f t="shared" si="129"/>
        <v>0.00156351407162664</v>
      </c>
      <c r="BR39" s="1">
        <f t="shared" si="129"/>
        <v>0.00294319414016685</v>
      </c>
      <c r="BS39" s="1">
        <f t="shared" si="129"/>
        <v>0.00430881891834485</v>
      </c>
      <c r="BT39" s="1">
        <f t="shared" si="129"/>
        <v>0.011210040320916</v>
      </c>
      <c r="BU39" s="1">
        <f t="shared" si="129"/>
        <v>0.00141674744612631</v>
      </c>
      <c r="BV39" s="1">
        <f t="shared" si="129"/>
        <v>0.00277788853888379</v>
      </c>
      <c r="CA39" s="1">
        <f t="shared" si="120"/>
        <v>-5.48545007518259</v>
      </c>
      <c r="CB39" s="1">
        <f t="shared" ref="CB39:CV39" si="130">IF(BB39=0,0,LN(BB39))</f>
        <v>-4.41641569740212</v>
      </c>
      <c r="CC39" s="1">
        <f t="shared" si="130"/>
        <v>-4.78173216687593</v>
      </c>
      <c r="CD39" s="1">
        <f t="shared" si="130"/>
        <v>-4.34555263372341</v>
      </c>
      <c r="CE39" s="1">
        <f t="shared" si="130"/>
        <v>-5.12034117527151</v>
      </c>
      <c r="CF39" s="1">
        <f t="shared" si="130"/>
        <v>-5.78203580490847</v>
      </c>
      <c r="CG39" s="1">
        <f t="shared" si="130"/>
        <v>-4.68657305141798</v>
      </c>
      <c r="CH39" s="1">
        <f t="shared" si="130"/>
        <v>-7.45362394553201</v>
      </c>
      <c r="CI39" s="1">
        <f t="shared" si="130"/>
        <v>-5.6593432963211</v>
      </c>
      <c r="CJ39" s="1">
        <f t="shared" si="130"/>
        <v>-5.49838181767516</v>
      </c>
      <c r="CK39" s="1">
        <f t="shared" si="130"/>
        <v>-4.47886153789077</v>
      </c>
      <c r="CL39" s="1">
        <f t="shared" si="130"/>
        <v>-4.42147137790129</v>
      </c>
      <c r="CM39" s="1">
        <f t="shared" si="130"/>
        <v>-4.20850816420008</v>
      </c>
      <c r="CN39" s="1">
        <f t="shared" si="130"/>
        <v>-4.40348130813206</v>
      </c>
      <c r="CO39" s="1">
        <f t="shared" si="130"/>
        <v>-6.41030336877717</v>
      </c>
      <c r="CP39" s="1">
        <f t="shared" si="130"/>
        <v>-7.39368405877763</v>
      </c>
      <c r="CQ39" s="1">
        <f t="shared" si="130"/>
        <v>-6.46081938102588</v>
      </c>
      <c r="CR39" s="1">
        <f t="shared" si="130"/>
        <v>-5.82825984514917</v>
      </c>
      <c r="CS39" s="1">
        <f t="shared" si="130"/>
        <v>-5.44709144528697</v>
      </c>
      <c r="CT39" s="1">
        <f t="shared" si="130"/>
        <v>-4.49094544503425</v>
      </c>
      <c r="CU39" s="1">
        <f t="shared" si="130"/>
        <v>-6.5593915655445</v>
      </c>
      <c r="CV39" s="1">
        <f t="shared" si="130"/>
        <v>-5.88606415824694</v>
      </c>
    </row>
    <row r="40" spans="1:100">
      <c r="A40" s="1" t="s">
        <v>32</v>
      </c>
      <c r="B40" s="1">
        <v>2023</v>
      </c>
      <c r="C40" s="3">
        <v>2272.3</v>
      </c>
      <c r="D40" s="1">
        <v>89150</v>
      </c>
      <c r="E40" s="1">
        <v>6.7</v>
      </c>
      <c r="F40" s="1">
        <v>38.57</v>
      </c>
      <c r="G40" s="1">
        <v>48.05</v>
      </c>
      <c r="H40" s="1">
        <v>122.79</v>
      </c>
      <c r="I40" s="1">
        <f t="shared" si="38"/>
        <v>4815</v>
      </c>
      <c r="J40" s="1">
        <v>0.22</v>
      </c>
      <c r="K40" s="1">
        <v>23.17</v>
      </c>
      <c r="L40" s="1">
        <v>1057.39</v>
      </c>
      <c r="M40" s="1">
        <f t="shared" si="0"/>
        <v>41466</v>
      </c>
      <c r="N40" s="1">
        <v>43543</v>
      </c>
      <c r="O40" s="1">
        <v>25772</v>
      </c>
      <c r="P40" s="1">
        <v>130147</v>
      </c>
      <c r="Q40" s="1">
        <v>140.35</v>
      </c>
      <c r="R40" s="1">
        <v>5.39</v>
      </c>
      <c r="S40" s="1">
        <v>28.06</v>
      </c>
      <c r="T40" s="1">
        <v>4107</v>
      </c>
      <c r="U40" s="3">
        <v>255</v>
      </c>
      <c r="V40" s="3">
        <v>61.2</v>
      </c>
      <c r="W40" s="1">
        <v>2.84</v>
      </c>
      <c r="X40" s="1">
        <v>10.35</v>
      </c>
      <c r="AA40" s="1">
        <f t="shared" si="96"/>
        <v>0.0374</v>
      </c>
      <c r="AB40" s="1">
        <f t="shared" si="97"/>
        <v>0.4517</v>
      </c>
      <c r="AC40" s="1">
        <f t="shared" si="98"/>
        <v>0.6203</v>
      </c>
      <c r="AD40" s="1">
        <f t="shared" si="99"/>
        <v>0.6144</v>
      </c>
      <c r="AE40" s="1">
        <f t="shared" si="100"/>
        <v>0.2741</v>
      </c>
      <c r="AF40" s="1">
        <f t="shared" si="101"/>
        <v>0.0302</v>
      </c>
      <c r="AG40" s="1">
        <f t="shared" si="102"/>
        <v>0.3307</v>
      </c>
      <c r="AH40" s="1">
        <f t="shared" si="103"/>
        <v>0.0018</v>
      </c>
      <c r="AI40" s="1">
        <f t="shared" si="104"/>
        <v>0.0234</v>
      </c>
      <c r="AJ40" s="1">
        <f t="shared" si="105"/>
        <v>0.0383</v>
      </c>
      <c r="AK40" s="1">
        <f t="shared" si="106"/>
        <v>0.6497</v>
      </c>
      <c r="AL40" s="1">
        <f t="shared" si="107"/>
        <v>0.3838</v>
      </c>
      <c r="AM40" s="1">
        <f t="shared" si="108"/>
        <v>0.6492</v>
      </c>
      <c r="AN40" s="1">
        <f t="shared" si="109"/>
        <v>0.3336</v>
      </c>
      <c r="AO40" s="1">
        <f t="shared" si="110"/>
        <v>0.0153</v>
      </c>
      <c r="AP40" s="1">
        <f t="shared" si="111"/>
        <v>0.0048</v>
      </c>
      <c r="AQ40" s="1">
        <f t="shared" si="112"/>
        <v>0.0058</v>
      </c>
      <c r="AR40" s="1">
        <f t="shared" si="113"/>
        <v>0.0456</v>
      </c>
      <c r="AS40" s="1">
        <f t="shared" si="114"/>
        <v>0.0427</v>
      </c>
      <c r="AT40" s="1">
        <f t="shared" si="115"/>
        <v>0.4277</v>
      </c>
      <c r="AU40" s="1">
        <f t="shared" si="116"/>
        <v>0.0132</v>
      </c>
      <c r="AV40" s="1">
        <f t="shared" si="117"/>
        <v>0.0225</v>
      </c>
      <c r="AW40" s="4">
        <f t="shared" si="118"/>
        <v>0.0558</v>
      </c>
      <c r="BA40" s="1">
        <f t="shared" si="128"/>
        <v>0.00428412696594463</v>
      </c>
      <c r="BB40" s="1">
        <f t="shared" si="2"/>
        <v>0.0126928372720375</v>
      </c>
      <c r="BC40" s="1">
        <f t="shared" si="3"/>
        <v>0.0128054797461612</v>
      </c>
      <c r="BD40" s="1">
        <f t="shared" ref="BD40:BV40" si="131">AD40/SUM(AD$2:AD$91)</f>
        <v>0.0111029991108926</v>
      </c>
      <c r="BE40" s="1">
        <f t="shared" si="131"/>
        <v>0.00934095331568061</v>
      </c>
      <c r="BF40" s="1">
        <f t="shared" si="131"/>
        <v>0.00367942688662004</v>
      </c>
      <c r="BG40" s="1">
        <f t="shared" si="131"/>
        <v>0.0117158576808483</v>
      </c>
      <c r="BH40" s="1">
        <f t="shared" si="131"/>
        <v>0.00037243177256833</v>
      </c>
      <c r="BI40" s="1">
        <f t="shared" si="131"/>
        <v>0.00270911722141823</v>
      </c>
      <c r="BJ40" s="1">
        <f t="shared" si="131"/>
        <v>0.0044665764799179</v>
      </c>
      <c r="BK40" s="1">
        <f t="shared" si="131"/>
        <v>0.0124354017532443</v>
      </c>
      <c r="BL40" s="1">
        <f t="shared" si="131"/>
        <v>0.0145717138659083</v>
      </c>
      <c r="BM40" s="1">
        <f t="shared" si="131"/>
        <v>0.0170270801914629</v>
      </c>
      <c r="BN40" s="1">
        <f t="shared" si="131"/>
        <v>0.0144836299380451</v>
      </c>
      <c r="BO40" s="1">
        <f t="shared" si="131"/>
        <v>0.00196572192101138</v>
      </c>
      <c r="BP40" s="1">
        <f t="shared" si="131"/>
        <v>0.000777000777000777</v>
      </c>
      <c r="BQ40" s="1">
        <f t="shared" si="131"/>
        <v>0.00171101539913859</v>
      </c>
      <c r="BR40" s="1">
        <f t="shared" si="131"/>
        <v>0.00504547566885746</v>
      </c>
      <c r="BS40" s="1">
        <f t="shared" si="131"/>
        <v>0.00431893351674472</v>
      </c>
      <c r="BT40" s="1">
        <f t="shared" si="131"/>
        <v>0.0117715056352952</v>
      </c>
      <c r="BU40" s="1">
        <f t="shared" si="131"/>
        <v>0.00140609520968927</v>
      </c>
      <c r="BV40" s="1">
        <f t="shared" si="131"/>
        <v>0.00299054986243471</v>
      </c>
      <c r="CA40" s="1">
        <f t="shared" si="120"/>
        <v>-5.45283848959383</v>
      </c>
      <c r="CB40" s="1">
        <f t="shared" ref="CB40:CV40" si="132">IF(BB40=0,0,LN(BB40))</f>
        <v>-4.36671743894997</v>
      </c>
      <c r="CC40" s="1">
        <f t="shared" si="132"/>
        <v>-4.35788209449859</v>
      </c>
      <c r="CD40" s="1">
        <f t="shared" si="132"/>
        <v>-4.50054001698813</v>
      </c>
      <c r="CE40" s="1">
        <f t="shared" si="132"/>
        <v>-4.67334696388995</v>
      </c>
      <c r="CF40" s="1">
        <f t="shared" si="132"/>
        <v>-5.60499827626112</v>
      </c>
      <c r="CG40" s="1">
        <f t="shared" si="132"/>
        <v>-4.44681199750864</v>
      </c>
      <c r="CH40" s="1">
        <f t="shared" si="132"/>
        <v>-7.89545669781105</v>
      </c>
      <c r="CI40" s="1">
        <f t="shared" si="132"/>
        <v>-5.91113244571227</v>
      </c>
      <c r="CJ40" s="1">
        <f t="shared" si="132"/>
        <v>-5.41113305196038</v>
      </c>
      <c r="CK40" s="1">
        <f t="shared" si="132"/>
        <v>-4.38720789398616</v>
      </c>
      <c r="CL40" s="1">
        <f t="shared" si="132"/>
        <v>-4.22867303591192</v>
      </c>
      <c r="CM40" s="1">
        <f t="shared" si="132"/>
        <v>-4.0729502498899</v>
      </c>
      <c r="CN40" s="1">
        <f t="shared" si="132"/>
        <v>-4.23473623711205</v>
      </c>
      <c r="CO40" s="1">
        <f t="shared" si="132"/>
        <v>-6.23189571130435</v>
      </c>
      <c r="CP40" s="1">
        <f t="shared" si="132"/>
        <v>-7.16006920759613</v>
      </c>
      <c r="CQ40" s="1">
        <f t="shared" si="132"/>
        <v>-6.37066828403158</v>
      </c>
      <c r="CR40" s="1">
        <f t="shared" si="132"/>
        <v>-5.28926334441648</v>
      </c>
      <c r="CS40" s="1">
        <f t="shared" si="132"/>
        <v>-5.44474677832772</v>
      </c>
      <c r="CT40" s="1">
        <f t="shared" si="132"/>
        <v>-4.44207344445575</v>
      </c>
      <c r="CU40" s="1">
        <f t="shared" si="132"/>
        <v>-6.56693877117988</v>
      </c>
      <c r="CV40" s="1">
        <f t="shared" si="132"/>
        <v>-5.81229800800733</v>
      </c>
    </row>
    <row r="41" spans="1:100">
      <c r="A41" s="1" t="s">
        <v>32</v>
      </c>
      <c r="B41" s="1">
        <v>2024</v>
      </c>
      <c r="C41" s="1">
        <v>2459.68</v>
      </c>
      <c r="D41" s="1">
        <v>96445</v>
      </c>
      <c r="E41" s="1">
        <v>6.7</v>
      </c>
      <c r="F41" s="1">
        <v>40.27</v>
      </c>
      <c r="G41" s="1">
        <v>46.21</v>
      </c>
      <c r="H41" s="1">
        <v>132.61</v>
      </c>
      <c r="I41" s="1">
        <f t="shared" si="38"/>
        <v>5199</v>
      </c>
      <c r="J41" s="1">
        <v>0.23</v>
      </c>
      <c r="K41" s="1">
        <v>28.57</v>
      </c>
      <c r="L41" s="1">
        <v>1115.28</v>
      </c>
      <c r="M41" s="1">
        <f t="shared" si="0"/>
        <v>43724</v>
      </c>
      <c r="N41" s="1">
        <v>45468</v>
      </c>
      <c r="O41" s="1">
        <v>27450</v>
      </c>
      <c r="P41" s="1">
        <v>142832</v>
      </c>
      <c r="Q41" s="1">
        <v>151.43</v>
      </c>
      <c r="R41" s="1">
        <v>5.48</v>
      </c>
      <c r="S41" s="3">
        <v>31</v>
      </c>
      <c r="T41" s="1">
        <v>4810</v>
      </c>
      <c r="U41" s="1">
        <v>255.07</v>
      </c>
      <c r="V41" s="3">
        <v>62.2</v>
      </c>
      <c r="W41" s="1">
        <v>3.01</v>
      </c>
      <c r="X41" s="1">
        <v>19.94</v>
      </c>
      <c r="AA41" s="1">
        <f t="shared" si="96"/>
        <v>0.0405</v>
      </c>
      <c r="AB41" s="1">
        <f t="shared" si="97"/>
        <v>0.51</v>
      </c>
      <c r="AC41" s="1">
        <f t="shared" si="98"/>
        <v>0.6203</v>
      </c>
      <c r="AD41" s="1">
        <f t="shared" si="99"/>
        <v>0.6797</v>
      </c>
      <c r="AE41" s="1">
        <f t="shared" si="100"/>
        <v>0.2058</v>
      </c>
      <c r="AF41" s="1">
        <f t="shared" si="101"/>
        <v>0.0327</v>
      </c>
      <c r="AG41" s="1">
        <f t="shared" si="102"/>
        <v>0.3661</v>
      </c>
      <c r="AH41" s="1">
        <f t="shared" si="103"/>
        <v>0.0018</v>
      </c>
      <c r="AI41" s="1">
        <f t="shared" si="104"/>
        <v>0.0288</v>
      </c>
      <c r="AJ41" s="1">
        <f t="shared" si="105"/>
        <v>0.0405</v>
      </c>
      <c r="AK41" s="1">
        <f t="shared" si="106"/>
        <v>0.6874</v>
      </c>
      <c r="AL41" s="1">
        <f t="shared" si="107"/>
        <v>0.4408</v>
      </c>
      <c r="AM41" s="1">
        <f t="shared" si="108"/>
        <v>0.7251</v>
      </c>
      <c r="AN41" s="1">
        <f t="shared" si="109"/>
        <v>0.3852</v>
      </c>
      <c r="AO41" s="1">
        <f t="shared" si="110"/>
        <v>0.0165</v>
      </c>
      <c r="AP41" s="1">
        <f t="shared" si="111"/>
        <v>0.0049</v>
      </c>
      <c r="AQ41" s="1">
        <f t="shared" si="112"/>
        <v>0.0065</v>
      </c>
      <c r="AR41" s="1">
        <f t="shared" si="113"/>
        <v>0.0536</v>
      </c>
      <c r="AS41" s="1">
        <f t="shared" si="114"/>
        <v>0.0427</v>
      </c>
      <c r="AT41" s="1">
        <f t="shared" si="115"/>
        <v>0.4518</v>
      </c>
      <c r="AU41" s="1">
        <f t="shared" si="116"/>
        <v>0.014</v>
      </c>
      <c r="AV41" s="1">
        <f t="shared" si="117"/>
        <v>0.0446</v>
      </c>
      <c r="AW41" s="4">
        <f t="shared" si="118"/>
        <v>0.0617</v>
      </c>
      <c r="BA41" s="1">
        <f t="shared" si="128"/>
        <v>0.00463922839895073</v>
      </c>
      <c r="BB41" s="1">
        <f t="shared" si="2"/>
        <v>0.0143310759547026</v>
      </c>
      <c r="BC41" s="1">
        <f t="shared" si="3"/>
        <v>0.0128054797461612</v>
      </c>
      <c r="BD41" s="1">
        <f t="shared" ref="BD41:BV41" si="133">AD41/SUM(AD$2:AD$91)</f>
        <v>0.0122830541921773</v>
      </c>
      <c r="BE41" s="1">
        <f t="shared" si="133"/>
        <v>0.00701338267919398</v>
      </c>
      <c r="BF41" s="1">
        <f t="shared" si="133"/>
        <v>0.00398401520504886</v>
      </c>
      <c r="BG41" s="1">
        <f t="shared" si="133"/>
        <v>0.0129699894071925</v>
      </c>
      <c r="BH41" s="1">
        <f t="shared" si="133"/>
        <v>0.00037243177256833</v>
      </c>
      <c r="BI41" s="1">
        <f t="shared" si="133"/>
        <v>0.0033342981186686</v>
      </c>
      <c r="BJ41" s="1">
        <f t="shared" si="133"/>
        <v>0.00472314223072259</v>
      </c>
      <c r="BK41" s="1">
        <f t="shared" si="133"/>
        <v>0.0131569880947824</v>
      </c>
      <c r="BL41" s="1">
        <f t="shared" si="133"/>
        <v>0.0167358297865878</v>
      </c>
      <c r="BM41" s="1">
        <f t="shared" si="133"/>
        <v>0.0190177693266015</v>
      </c>
      <c r="BN41" s="1">
        <f t="shared" si="133"/>
        <v>0.0167239036334982</v>
      </c>
      <c r="BO41" s="1">
        <f t="shared" si="133"/>
        <v>0.002119896189326</v>
      </c>
      <c r="BP41" s="1">
        <f t="shared" si="133"/>
        <v>0.000793188293188293</v>
      </c>
      <c r="BQ41" s="1">
        <f t="shared" si="133"/>
        <v>0.00191751725765532</v>
      </c>
      <c r="BR41" s="1">
        <f t="shared" si="133"/>
        <v>0.00593064683883246</v>
      </c>
      <c r="BS41" s="1">
        <f t="shared" si="133"/>
        <v>0.00431893351674472</v>
      </c>
      <c r="BT41" s="1">
        <f t="shared" si="133"/>
        <v>0.0124348053449296</v>
      </c>
      <c r="BU41" s="1">
        <f t="shared" si="133"/>
        <v>0.00149131310118559</v>
      </c>
      <c r="BV41" s="1">
        <f t="shared" si="133"/>
        <v>0.00592793439398169</v>
      </c>
      <c r="CA41" s="1">
        <f t="shared" si="120"/>
        <v>-5.37320721990183</v>
      </c>
      <c r="CB41" s="1">
        <f t="shared" ref="CB41:CV41" si="134">IF(BB41=0,0,LN(BB41))</f>
        <v>-4.24532495589216</v>
      </c>
      <c r="CC41" s="1">
        <f t="shared" si="134"/>
        <v>-4.35788209449859</v>
      </c>
      <c r="CD41" s="1">
        <f t="shared" si="134"/>
        <v>-4.399534674469</v>
      </c>
      <c r="CE41" s="1">
        <f t="shared" si="134"/>
        <v>-4.95993514379875</v>
      </c>
      <c r="CF41" s="1">
        <f t="shared" si="134"/>
        <v>-5.52546512273874</v>
      </c>
      <c r="CG41" s="1">
        <f t="shared" si="134"/>
        <v>-4.3451170973702</v>
      </c>
      <c r="CH41" s="1">
        <f t="shared" si="134"/>
        <v>-7.89545669781105</v>
      </c>
      <c r="CI41" s="1">
        <f t="shared" si="134"/>
        <v>-5.70349308093402</v>
      </c>
      <c r="CJ41" s="1">
        <f t="shared" si="134"/>
        <v>-5.35528097403449</v>
      </c>
      <c r="CK41" s="1">
        <f t="shared" si="134"/>
        <v>-4.33080224745691</v>
      </c>
      <c r="CL41" s="1">
        <f t="shared" si="134"/>
        <v>-4.09020336164681</v>
      </c>
      <c r="CM41" s="1">
        <f t="shared" si="134"/>
        <v>-3.96238150915279</v>
      </c>
      <c r="CN41" s="1">
        <f t="shared" si="134"/>
        <v>-4.09091622767267</v>
      </c>
      <c r="CO41" s="1">
        <f t="shared" si="134"/>
        <v>-6.15638815879621</v>
      </c>
      <c r="CP41" s="1">
        <f t="shared" si="134"/>
        <v>-7.13944992039339</v>
      </c>
      <c r="CQ41" s="1">
        <f t="shared" si="134"/>
        <v>-6.25672402468236</v>
      </c>
      <c r="CR41" s="1">
        <f t="shared" si="134"/>
        <v>-5.12762199286007</v>
      </c>
      <c r="CS41" s="1">
        <f t="shared" si="134"/>
        <v>-5.44474677832772</v>
      </c>
      <c r="CT41" s="1">
        <f t="shared" si="134"/>
        <v>-4.38725585565471</v>
      </c>
      <c r="CU41" s="1">
        <f t="shared" si="134"/>
        <v>-6.50809827115695</v>
      </c>
      <c r="CV41" s="1">
        <f t="shared" si="134"/>
        <v>-5.12807945819168</v>
      </c>
    </row>
    <row r="42" spans="1:100">
      <c r="A42" s="1" t="s">
        <v>33</v>
      </c>
      <c r="B42" s="1">
        <v>2020</v>
      </c>
      <c r="C42" s="1">
        <v>2193.55</v>
      </c>
      <c r="D42" s="1">
        <v>47730</v>
      </c>
      <c r="E42" s="1">
        <v>-4.5</v>
      </c>
      <c r="F42" s="1">
        <v>39.24</v>
      </c>
      <c r="G42" s="1">
        <v>45.12</v>
      </c>
      <c r="H42" s="1">
        <v>100.17</v>
      </c>
      <c r="I42" s="1">
        <f t="shared" si="38"/>
        <v>2346</v>
      </c>
      <c r="J42" s="1">
        <v>2.92</v>
      </c>
      <c r="K42" s="1">
        <v>15.98</v>
      </c>
      <c r="L42" s="1">
        <v>1040.53</v>
      </c>
      <c r="M42" s="1">
        <f t="shared" si="0"/>
        <v>24366</v>
      </c>
      <c r="N42" s="1">
        <v>35374</v>
      </c>
      <c r="O42" s="1">
        <v>17090</v>
      </c>
      <c r="P42" s="1">
        <v>66978</v>
      </c>
      <c r="Q42" s="1">
        <v>51.13</v>
      </c>
      <c r="R42" s="3">
        <v>8.7</v>
      </c>
      <c r="S42" s="1">
        <v>29.54</v>
      </c>
      <c r="T42" s="1">
        <v>2175</v>
      </c>
      <c r="U42" s="1">
        <v>427.04</v>
      </c>
      <c r="V42" s="1">
        <v>60.47</v>
      </c>
      <c r="W42" s="1">
        <v>4.08</v>
      </c>
      <c r="X42" s="1">
        <v>9.92</v>
      </c>
      <c r="AA42" s="1">
        <f t="shared" si="96"/>
        <v>0.0361</v>
      </c>
      <c r="AB42" s="1">
        <f t="shared" si="97"/>
        <v>0.1206</v>
      </c>
      <c r="AC42" s="1">
        <f t="shared" si="98"/>
        <v>0.1992</v>
      </c>
      <c r="AD42" s="1">
        <f t="shared" si="99"/>
        <v>0.6402</v>
      </c>
      <c r="AE42" s="1">
        <f t="shared" si="100"/>
        <v>0.1653</v>
      </c>
      <c r="AF42" s="1">
        <f t="shared" si="101"/>
        <v>0.0245</v>
      </c>
      <c r="AG42" s="1">
        <f t="shared" si="102"/>
        <v>0.1031</v>
      </c>
      <c r="AH42" s="1">
        <f t="shared" si="103"/>
        <v>0.0234</v>
      </c>
      <c r="AI42" s="1">
        <f t="shared" si="104"/>
        <v>0.0161</v>
      </c>
      <c r="AJ42" s="1">
        <f t="shared" si="105"/>
        <v>0.0377</v>
      </c>
      <c r="AK42" s="1">
        <f t="shared" si="106"/>
        <v>0.3649</v>
      </c>
      <c r="AL42" s="1">
        <f t="shared" si="107"/>
        <v>0.1418</v>
      </c>
      <c r="AM42" s="1">
        <f t="shared" si="108"/>
        <v>0.2566</v>
      </c>
      <c r="AN42" s="1">
        <f t="shared" si="109"/>
        <v>0.0767</v>
      </c>
      <c r="AO42" s="1">
        <f t="shared" si="110"/>
        <v>0.0055</v>
      </c>
      <c r="AP42" s="1">
        <f t="shared" si="111"/>
        <v>0.0078</v>
      </c>
      <c r="AQ42" s="1">
        <f t="shared" si="112"/>
        <v>0.0062</v>
      </c>
      <c r="AR42" s="1">
        <f t="shared" si="113"/>
        <v>0.0234</v>
      </c>
      <c r="AS42" s="1">
        <f t="shared" si="114"/>
        <v>0.0722</v>
      </c>
      <c r="AT42" s="1">
        <f t="shared" si="115"/>
        <v>0.4102</v>
      </c>
      <c r="AU42" s="1">
        <f t="shared" si="116"/>
        <v>0.0189</v>
      </c>
      <c r="AV42" s="1">
        <f t="shared" si="117"/>
        <v>0.0215</v>
      </c>
      <c r="AW42" s="4">
        <f t="shared" si="118"/>
        <v>0.0379</v>
      </c>
      <c r="BA42" s="1">
        <f t="shared" si="128"/>
        <v>0.00413521346178078</v>
      </c>
      <c r="BB42" s="1">
        <f t="shared" si="2"/>
        <v>0.00338887796105319</v>
      </c>
      <c r="BC42" s="1">
        <f t="shared" si="3"/>
        <v>0.00411228690220106</v>
      </c>
      <c r="BD42" s="1">
        <f t="shared" ref="BD42:BV42" si="135">AD42/SUM(AD$2:AD$91)</f>
        <v>0.0115692383313696</v>
      </c>
      <c r="BE42" s="1">
        <f t="shared" si="135"/>
        <v>0.00563319804116018</v>
      </c>
      <c r="BF42" s="1">
        <f t="shared" si="135"/>
        <v>0.00298496552060235</v>
      </c>
      <c r="BG42" s="1">
        <f t="shared" si="135"/>
        <v>0.00365257008435276</v>
      </c>
      <c r="BH42" s="1">
        <f t="shared" si="135"/>
        <v>0.0048416130433883</v>
      </c>
      <c r="BI42" s="1">
        <f t="shared" si="135"/>
        <v>0.00186396526772793</v>
      </c>
      <c r="BJ42" s="1">
        <f t="shared" si="135"/>
        <v>0.00439660400242572</v>
      </c>
      <c r="BK42" s="1">
        <f t="shared" si="135"/>
        <v>0.00698426673812349</v>
      </c>
      <c r="BL42" s="1">
        <f t="shared" si="135"/>
        <v>0.00538371293951486</v>
      </c>
      <c r="BM42" s="1">
        <f t="shared" si="135"/>
        <v>0.00673005048849256</v>
      </c>
      <c r="BN42" s="1">
        <f t="shared" si="135"/>
        <v>0.0033300192333575</v>
      </c>
      <c r="BO42" s="1">
        <f t="shared" si="135"/>
        <v>0.000706632063108667</v>
      </c>
      <c r="BP42" s="1">
        <f t="shared" si="135"/>
        <v>0.00126262626262626</v>
      </c>
      <c r="BQ42" s="1">
        <f t="shared" si="135"/>
        <v>0.00182901646114815</v>
      </c>
      <c r="BR42" s="1">
        <f t="shared" si="135"/>
        <v>0.00258912567217686</v>
      </c>
      <c r="BS42" s="1">
        <f t="shared" si="135"/>
        <v>0.00730274004470653</v>
      </c>
      <c r="BT42" s="1">
        <f t="shared" si="135"/>
        <v>0.0112898564685483</v>
      </c>
      <c r="BU42" s="1">
        <f t="shared" si="135"/>
        <v>0.00201327268660055</v>
      </c>
      <c r="BV42" s="1">
        <f t="shared" si="135"/>
        <v>0.00285763653521539</v>
      </c>
      <c r="CA42" s="1">
        <f t="shared" si="120"/>
        <v>-5.48821632867548</v>
      </c>
      <c r="CB42" s="1">
        <f t="shared" ref="CB42:CV42" si="136">IF(BB42=0,0,LN(BB42))</f>
        <v>-5.68725639731744</v>
      </c>
      <c r="CC42" s="1">
        <f t="shared" si="136"/>
        <v>-5.49377598132717</v>
      </c>
      <c r="CD42" s="1">
        <f t="shared" si="136"/>
        <v>-4.45940557128583</v>
      </c>
      <c r="CE42" s="1">
        <f t="shared" si="136"/>
        <v>-5.17907796237172</v>
      </c>
      <c r="CF42" s="1">
        <f t="shared" si="136"/>
        <v>-5.81416708309127</v>
      </c>
      <c r="CG42" s="1">
        <f t="shared" si="136"/>
        <v>-5.61232422647347</v>
      </c>
      <c r="CH42" s="1">
        <f t="shared" si="136"/>
        <v>-5.33050734034952</v>
      </c>
      <c r="CI42" s="1">
        <f t="shared" si="136"/>
        <v>-6.28504919608551</v>
      </c>
      <c r="CJ42" s="1">
        <f t="shared" si="136"/>
        <v>-5.42692285369302</v>
      </c>
      <c r="CK42" s="1">
        <f t="shared" si="136"/>
        <v>-4.96409526843025</v>
      </c>
      <c r="CL42" s="1">
        <f t="shared" si="136"/>
        <v>-5.22437700538749</v>
      </c>
      <c r="CM42" s="1">
        <f t="shared" si="136"/>
        <v>-5.0011726333488</v>
      </c>
      <c r="CN42" s="1">
        <f t="shared" si="136"/>
        <v>-5.70477719922343</v>
      </c>
      <c r="CO42" s="1">
        <f t="shared" si="136"/>
        <v>-7.25500044746432</v>
      </c>
      <c r="CP42" s="1">
        <f t="shared" si="136"/>
        <v>-6.67456139181443</v>
      </c>
      <c r="CQ42" s="1">
        <f t="shared" si="136"/>
        <v>-6.30397690953291</v>
      </c>
      <c r="CR42" s="1">
        <f t="shared" si="136"/>
        <v>-5.95643503857317</v>
      </c>
      <c r="CS42" s="1">
        <f t="shared" si="136"/>
        <v>-4.91950565266352</v>
      </c>
      <c r="CT42" s="1">
        <f t="shared" si="136"/>
        <v>-4.48385061405033</v>
      </c>
      <c r="CU42" s="1">
        <f t="shared" si="136"/>
        <v>-6.20799367870661</v>
      </c>
      <c r="CV42" s="1">
        <f t="shared" si="136"/>
        <v>-5.85776038208409</v>
      </c>
    </row>
    <row r="43" spans="1:100">
      <c r="A43" s="1" t="s">
        <v>33</v>
      </c>
      <c r="B43" s="1">
        <v>2021</v>
      </c>
      <c r="C43" s="1">
        <v>2562.01</v>
      </c>
      <c r="D43" s="1">
        <v>60555</v>
      </c>
      <c r="E43" s="1">
        <v>13.4</v>
      </c>
      <c r="F43" s="1">
        <v>39.37</v>
      </c>
      <c r="G43" s="1">
        <v>45.72</v>
      </c>
      <c r="H43" s="1">
        <v>134.77</v>
      </c>
      <c r="I43" s="1">
        <f t="shared" si="38"/>
        <v>3215</v>
      </c>
      <c r="J43" s="1">
        <v>3.59</v>
      </c>
      <c r="K43" s="1">
        <v>20.93</v>
      </c>
      <c r="L43" s="1">
        <v>1289.55</v>
      </c>
      <c r="M43" s="1">
        <f t="shared" si="0"/>
        <v>30767</v>
      </c>
      <c r="N43" s="1">
        <v>38911</v>
      </c>
      <c r="O43" s="1">
        <v>19346</v>
      </c>
      <c r="P43" s="1">
        <v>74369</v>
      </c>
      <c r="Q43" s="1">
        <v>57.35</v>
      </c>
      <c r="R43" s="1">
        <v>6.36</v>
      </c>
      <c r="S43" s="1">
        <v>32.05</v>
      </c>
      <c r="T43" s="1">
        <v>2863</v>
      </c>
      <c r="U43" s="1">
        <v>419.13</v>
      </c>
      <c r="V43" s="1">
        <v>61.22</v>
      </c>
      <c r="W43" s="1">
        <v>4.17</v>
      </c>
      <c r="X43" s="3">
        <v>10.9</v>
      </c>
      <c r="Y43" s="3"/>
      <c r="Z43" s="3"/>
      <c r="AA43" s="1">
        <f t="shared" si="96"/>
        <v>0.0422</v>
      </c>
      <c r="AB43" s="1">
        <f t="shared" si="97"/>
        <v>0.2231</v>
      </c>
      <c r="AC43" s="1">
        <f t="shared" si="98"/>
        <v>0.8722</v>
      </c>
      <c r="AD43" s="1">
        <f t="shared" si="99"/>
        <v>0.6452</v>
      </c>
      <c r="AE43" s="1">
        <f t="shared" si="100"/>
        <v>0.1876</v>
      </c>
      <c r="AF43" s="1">
        <f t="shared" si="101"/>
        <v>0.0333</v>
      </c>
      <c r="AG43" s="1">
        <f t="shared" si="102"/>
        <v>0.1832</v>
      </c>
      <c r="AH43" s="1">
        <f t="shared" si="103"/>
        <v>0.0288</v>
      </c>
      <c r="AI43" s="1">
        <f t="shared" si="104"/>
        <v>0.0211</v>
      </c>
      <c r="AJ43" s="1">
        <f t="shared" si="105"/>
        <v>0.0469</v>
      </c>
      <c r="AK43" s="1">
        <f t="shared" si="106"/>
        <v>0.4715</v>
      </c>
      <c r="AL43" s="1">
        <f t="shared" si="107"/>
        <v>0.2466</v>
      </c>
      <c r="AM43" s="1">
        <f t="shared" si="108"/>
        <v>0.3586</v>
      </c>
      <c r="AN43" s="1">
        <f t="shared" si="109"/>
        <v>0.1068</v>
      </c>
      <c r="AO43" s="1">
        <f t="shared" si="110"/>
        <v>0.0062</v>
      </c>
      <c r="AP43" s="1">
        <f t="shared" si="111"/>
        <v>0.0057</v>
      </c>
      <c r="AQ43" s="1">
        <f t="shared" si="112"/>
        <v>0.0067</v>
      </c>
      <c r="AR43" s="1">
        <f t="shared" si="113"/>
        <v>0.0313</v>
      </c>
      <c r="AS43" s="1">
        <f t="shared" si="114"/>
        <v>0.0708</v>
      </c>
      <c r="AT43" s="1">
        <f t="shared" si="115"/>
        <v>0.4282</v>
      </c>
      <c r="AU43" s="1">
        <f t="shared" si="116"/>
        <v>0.0193</v>
      </c>
      <c r="AV43" s="1">
        <f t="shared" si="117"/>
        <v>0.0237</v>
      </c>
      <c r="AW43" s="4">
        <f t="shared" si="118"/>
        <v>0.0498</v>
      </c>
      <c r="BA43" s="1">
        <f t="shared" si="128"/>
        <v>0.00483396144285731</v>
      </c>
      <c r="BB43" s="1">
        <f t="shared" si="2"/>
        <v>0.0062691432264591</v>
      </c>
      <c r="BC43" s="1">
        <f t="shared" si="3"/>
        <v>0.0180057060045169</v>
      </c>
      <c r="BD43" s="1">
        <f t="shared" ref="BD43:BV43" si="137">AD43/SUM(AD$2:AD$91)</f>
        <v>0.0116595947694465</v>
      </c>
      <c r="BE43" s="1">
        <f t="shared" si="137"/>
        <v>0.00639315155790471</v>
      </c>
      <c r="BF43" s="1">
        <f t="shared" si="137"/>
        <v>0.00405711640147177</v>
      </c>
      <c r="BG43" s="1">
        <f t="shared" si="137"/>
        <v>0.00649030882108075</v>
      </c>
      <c r="BH43" s="1">
        <f t="shared" si="137"/>
        <v>0.00595890836109329</v>
      </c>
      <c r="BI43" s="1">
        <f t="shared" si="137"/>
        <v>0.00244283646888567</v>
      </c>
      <c r="BJ43" s="1">
        <f t="shared" si="137"/>
        <v>0.00546951532397257</v>
      </c>
      <c r="BK43" s="1">
        <f t="shared" si="137"/>
        <v>0.00902461432454159</v>
      </c>
      <c r="BL43" s="1">
        <f t="shared" si="137"/>
        <v>0.00936264887788692</v>
      </c>
      <c r="BM43" s="1">
        <f t="shared" si="137"/>
        <v>0.00940528489935086</v>
      </c>
      <c r="BN43" s="1">
        <f t="shared" si="137"/>
        <v>0.0046368455557051</v>
      </c>
      <c r="BO43" s="1">
        <f t="shared" si="137"/>
        <v>0.000796567052958861</v>
      </c>
      <c r="BP43" s="1">
        <f t="shared" si="137"/>
        <v>0.000922688422688423</v>
      </c>
      <c r="BQ43" s="1">
        <f t="shared" si="137"/>
        <v>0.0019765177886601</v>
      </c>
      <c r="BR43" s="1">
        <f t="shared" si="137"/>
        <v>0.00346323220252716</v>
      </c>
      <c r="BS43" s="1">
        <f t="shared" si="137"/>
        <v>0.00716113566710834</v>
      </c>
      <c r="BT43" s="1">
        <f t="shared" si="137"/>
        <v>0.0117852670400594</v>
      </c>
      <c r="BU43" s="1">
        <f t="shared" si="137"/>
        <v>0.00205588163234871</v>
      </c>
      <c r="BV43" s="1">
        <f t="shared" si="137"/>
        <v>0.00315004585509789</v>
      </c>
      <c r="CA43" s="1">
        <f t="shared" si="120"/>
        <v>-5.33208897297235</v>
      </c>
      <c r="CB43" s="1">
        <f t="shared" ref="CB43:CV43" si="138">IF(BB43=0,0,LN(BB43))</f>
        <v>-5.07211558017204</v>
      </c>
      <c r="CC43" s="1">
        <f t="shared" si="138"/>
        <v>-4.017066571069</v>
      </c>
      <c r="CD43" s="1">
        <f t="shared" si="138"/>
        <v>-4.45162585257054</v>
      </c>
      <c r="CE43" s="1">
        <f t="shared" si="138"/>
        <v>-5.05252793062657</v>
      </c>
      <c r="CF43" s="1">
        <f t="shared" si="138"/>
        <v>-5.50728280365555</v>
      </c>
      <c r="CG43" s="1">
        <f t="shared" si="138"/>
        <v>-5.03744516525636</v>
      </c>
      <c r="CH43" s="1">
        <f t="shared" si="138"/>
        <v>-5.12286797557127</v>
      </c>
      <c r="CI43" s="1">
        <f t="shared" si="138"/>
        <v>-6.0145954275939</v>
      </c>
      <c r="CJ43" s="1">
        <f t="shared" si="138"/>
        <v>-5.20856527269475</v>
      </c>
      <c r="CK43" s="1">
        <f t="shared" si="138"/>
        <v>-4.70779950979914</v>
      </c>
      <c r="CL43" s="1">
        <f t="shared" si="138"/>
        <v>-4.67102702875528</v>
      </c>
      <c r="CM43" s="1">
        <f t="shared" si="138"/>
        <v>-4.66648352435931</v>
      </c>
      <c r="CN43" s="1">
        <f t="shared" si="138"/>
        <v>-5.37372098107055</v>
      </c>
      <c r="CO43" s="1">
        <f t="shared" si="138"/>
        <v>-7.1351992476517</v>
      </c>
      <c r="CP43" s="1">
        <f t="shared" si="138"/>
        <v>-6.98821895066947</v>
      </c>
      <c r="CQ43" s="1">
        <f t="shared" si="138"/>
        <v>-6.22641867518703</v>
      </c>
      <c r="CR43" s="1">
        <f t="shared" si="138"/>
        <v>-5.66555296339072</v>
      </c>
      <c r="CS43" s="1">
        <f t="shared" si="138"/>
        <v>-4.93908669786262</v>
      </c>
      <c r="CT43" s="1">
        <f t="shared" si="138"/>
        <v>-4.44090508353303</v>
      </c>
      <c r="CU43" s="1">
        <f t="shared" si="138"/>
        <v>-6.18705050486137</v>
      </c>
      <c r="CV43" s="1">
        <f t="shared" si="138"/>
        <v>-5.76033826907662</v>
      </c>
    </row>
    <row r="44" spans="1:100">
      <c r="A44" s="1" t="s">
        <v>33</v>
      </c>
      <c r="B44" s="1">
        <v>2022</v>
      </c>
      <c r="C44" s="1">
        <v>2776.97</v>
      </c>
      <c r="D44" s="1">
        <v>66299</v>
      </c>
      <c r="E44" s="1">
        <v>5.2</v>
      </c>
      <c r="F44" s="1">
        <v>41.48</v>
      </c>
      <c r="G44" s="1">
        <v>44.19</v>
      </c>
      <c r="H44" s="1">
        <v>137.21</v>
      </c>
      <c r="I44" s="1">
        <f t="shared" si="38"/>
        <v>3278</v>
      </c>
      <c r="J44" s="1">
        <v>1.64</v>
      </c>
      <c r="K44" s="1">
        <v>25.84</v>
      </c>
      <c r="L44" s="1">
        <v>1355.57</v>
      </c>
      <c r="M44" s="1">
        <f t="shared" si="0"/>
        <v>32385</v>
      </c>
      <c r="N44" s="1">
        <v>41596</v>
      </c>
      <c r="O44" s="1">
        <v>20913</v>
      </c>
      <c r="P44" s="1">
        <v>83763</v>
      </c>
      <c r="Q44" s="1">
        <v>63.77</v>
      </c>
      <c r="R44" s="1">
        <v>4.02</v>
      </c>
      <c r="S44" s="1">
        <v>34.94</v>
      </c>
      <c r="T44" s="1">
        <v>2925</v>
      </c>
      <c r="U44" s="1">
        <v>418.58</v>
      </c>
      <c r="V44" s="1">
        <v>61.93</v>
      </c>
      <c r="W44" s="1">
        <v>4.16</v>
      </c>
      <c r="X44" s="1">
        <v>11.83</v>
      </c>
      <c r="AA44" s="1">
        <f t="shared" si="96"/>
        <v>0.0458</v>
      </c>
      <c r="AB44" s="1">
        <f t="shared" si="97"/>
        <v>0.269</v>
      </c>
      <c r="AC44" s="1">
        <f t="shared" si="98"/>
        <v>0.5639</v>
      </c>
      <c r="AD44" s="1">
        <f t="shared" si="99"/>
        <v>0.7262</v>
      </c>
      <c r="AE44" s="1">
        <f t="shared" si="100"/>
        <v>0.1308</v>
      </c>
      <c r="AF44" s="1">
        <f t="shared" si="101"/>
        <v>0.0339</v>
      </c>
      <c r="AG44" s="1">
        <f t="shared" si="102"/>
        <v>0.189</v>
      </c>
      <c r="AH44" s="1">
        <f t="shared" si="103"/>
        <v>0.0132</v>
      </c>
      <c r="AI44" s="1">
        <f t="shared" si="104"/>
        <v>0.0261</v>
      </c>
      <c r="AJ44" s="1">
        <f t="shared" si="105"/>
        <v>0.0493</v>
      </c>
      <c r="AK44" s="1">
        <f t="shared" si="106"/>
        <v>0.4985</v>
      </c>
      <c r="AL44" s="1">
        <f t="shared" si="107"/>
        <v>0.3261</v>
      </c>
      <c r="AM44" s="1">
        <f t="shared" si="108"/>
        <v>0.4295</v>
      </c>
      <c r="AN44" s="1">
        <f t="shared" si="109"/>
        <v>0.145</v>
      </c>
      <c r="AO44" s="1">
        <f t="shared" si="110"/>
        <v>0.0069</v>
      </c>
      <c r="AP44" s="1">
        <f t="shared" si="111"/>
        <v>0.0035</v>
      </c>
      <c r="AQ44" s="1">
        <f t="shared" si="112"/>
        <v>0.0073</v>
      </c>
      <c r="AR44" s="1">
        <f t="shared" si="113"/>
        <v>0.032</v>
      </c>
      <c r="AS44" s="1">
        <f t="shared" si="114"/>
        <v>0.0707</v>
      </c>
      <c r="AT44" s="1">
        <f t="shared" si="115"/>
        <v>0.4453</v>
      </c>
      <c r="AU44" s="1">
        <f t="shared" si="116"/>
        <v>0.0193</v>
      </c>
      <c r="AV44" s="1">
        <f t="shared" si="117"/>
        <v>0.0259</v>
      </c>
      <c r="AW44" s="4">
        <f t="shared" si="118"/>
        <v>0.0494</v>
      </c>
      <c r="BA44" s="1">
        <f t="shared" si="128"/>
        <v>0.00524633730054182</v>
      </c>
      <c r="BB44" s="1">
        <f t="shared" si="2"/>
        <v>0.00755894006238233</v>
      </c>
      <c r="BC44" s="1">
        <f t="shared" si="3"/>
        <v>0.0116411575509597</v>
      </c>
      <c r="BD44" s="1">
        <f t="shared" ref="BD44:BV44" si="139">AD44/SUM(AD$2:AD$91)</f>
        <v>0.0131233690662927</v>
      </c>
      <c r="BE44" s="1">
        <f t="shared" si="139"/>
        <v>0.00445748520135361</v>
      </c>
      <c r="BF44" s="1">
        <f t="shared" si="139"/>
        <v>0.00413021759789469</v>
      </c>
      <c r="BG44" s="1">
        <f t="shared" si="139"/>
        <v>0.00669578803048178</v>
      </c>
      <c r="BH44" s="1">
        <f t="shared" si="139"/>
        <v>0.00273116633216776</v>
      </c>
      <c r="BI44" s="1">
        <f t="shared" si="139"/>
        <v>0.00302170767004342</v>
      </c>
      <c r="BJ44" s="1">
        <f t="shared" si="139"/>
        <v>0.00574940523394132</v>
      </c>
      <c r="BK44" s="1">
        <f t="shared" si="139"/>
        <v>0.00954140029858745</v>
      </c>
      <c r="BL44" s="1">
        <f t="shared" si="139"/>
        <v>0.0123810210830451</v>
      </c>
      <c r="BM44" s="1">
        <f t="shared" si="139"/>
        <v>0.0112648350927808</v>
      </c>
      <c r="BN44" s="1">
        <f t="shared" si="139"/>
        <v>0.00629534274885056</v>
      </c>
      <c r="BO44" s="1">
        <f t="shared" si="139"/>
        <v>0.000886502042809055</v>
      </c>
      <c r="BP44" s="1">
        <f t="shared" si="139"/>
        <v>0.000566563066563067</v>
      </c>
      <c r="BQ44" s="1">
        <f t="shared" si="139"/>
        <v>0.00215351938167444</v>
      </c>
      <c r="BR44" s="1">
        <f t="shared" si="139"/>
        <v>0.00354068467989997</v>
      </c>
      <c r="BS44" s="1">
        <f t="shared" si="139"/>
        <v>0.00715102106870847</v>
      </c>
      <c r="BT44" s="1">
        <f t="shared" si="139"/>
        <v>0.012255907082995</v>
      </c>
      <c r="BU44" s="1">
        <f t="shared" si="139"/>
        <v>0.00205588163234871</v>
      </c>
      <c r="BV44" s="1">
        <f t="shared" si="139"/>
        <v>0.0034424551749804</v>
      </c>
      <c r="CA44" s="1">
        <f t="shared" si="120"/>
        <v>-5.25022510289418</v>
      </c>
      <c r="CB44" s="1">
        <f t="shared" ref="CB44:CV44" si="140">IF(BB44=0,0,LN(BB44))</f>
        <v>-4.88502430200869</v>
      </c>
      <c r="CC44" s="1">
        <f t="shared" si="140"/>
        <v>-4.45320839566453</v>
      </c>
      <c r="CD44" s="1">
        <f t="shared" si="140"/>
        <v>-4.33336073984136</v>
      </c>
      <c r="CE44" s="1">
        <f t="shared" si="140"/>
        <v>-5.4131705281756</v>
      </c>
      <c r="CF44" s="1">
        <f t="shared" si="140"/>
        <v>-5.48942518625554</v>
      </c>
      <c r="CG44" s="1">
        <f t="shared" si="140"/>
        <v>-5.00627660243674</v>
      </c>
      <c r="CH44" s="1">
        <f t="shared" si="140"/>
        <v>-5.90302653312085</v>
      </c>
      <c r="CI44" s="1">
        <f t="shared" si="140"/>
        <v>-5.80193315374728</v>
      </c>
      <c r="CJ44" s="1">
        <f t="shared" si="140"/>
        <v>-5.15865886709834</v>
      </c>
      <c r="CK44" s="1">
        <f t="shared" si="140"/>
        <v>-4.65211502247076</v>
      </c>
      <c r="CL44" s="1">
        <f t="shared" si="140"/>
        <v>-4.39159053669025</v>
      </c>
      <c r="CM44" s="1">
        <f t="shared" si="140"/>
        <v>-4.48606934410603</v>
      </c>
      <c r="CN44" s="1">
        <f t="shared" si="140"/>
        <v>-5.06794516517607</v>
      </c>
      <c r="CO44" s="1">
        <f t="shared" si="140"/>
        <v>-7.02822712809953</v>
      </c>
      <c r="CP44" s="1">
        <f t="shared" si="140"/>
        <v>-7.4759221570146</v>
      </c>
      <c r="CQ44" s="1">
        <f t="shared" si="140"/>
        <v>-6.14065185342961</v>
      </c>
      <c r="CR44" s="1">
        <f t="shared" si="140"/>
        <v>-5.6434351581371</v>
      </c>
      <c r="CS44" s="1">
        <f t="shared" si="140"/>
        <v>-4.94050012565977</v>
      </c>
      <c r="CT44" s="1">
        <f t="shared" si="140"/>
        <v>-4.40174724736096</v>
      </c>
      <c r="CU44" s="1">
        <f t="shared" si="140"/>
        <v>-6.18705050486137</v>
      </c>
      <c r="CV44" s="1">
        <f t="shared" si="140"/>
        <v>-5.67157034851221</v>
      </c>
    </row>
    <row r="45" spans="1:100">
      <c r="A45" s="1" t="s">
        <v>33</v>
      </c>
      <c r="B45" s="1">
        <v>2023</v>
      </c>
      <c r="C45" s="1">
        <v>2919.85</v>
      </c>
      <c r="D45" s="1">
        <v>69873</v>
      </c>
      <c r="E45" s="1">
        <v>6.7</v>
      </c>
      <c r="F45" s="1">
        <v>38.66</v>
      </c>
      <c r="G45" s="3">
        <v>47.4</v>
      </c>
      <c r="H45" s="1">
        <v>162.52</v>
      </c>
      <c r="I45" s="1">
        <f t="shared" si="38"/>
        <v>3896</v>
      </c>
      <c r="J45" s="1">
        <v>1.41</v>
      </c>
      <c r="K45" s="1">
        <v>29.91</v>
      </c>
      <c r="L45" s="1">
        <v>1497.63</v>
      </c>
      <c r="M45" s="1">
        <f t="shared" si="0"/>
        <v>35899</v>
      </c>
      <c r="N45" s="1">
        <v>44117</v>
      </c>
      <c r="O45" s="1">
        <v>22681</v>
      </c>
      <c r="P45" s="1">
        <v>93414</v>
      </c>
      <c r="Q45" s="3">
        <v>70.59</v>
      </c>
      <c r="R45" s="1">
        <v>1.68</v>
      </c>
      <c r="S45" s="1">
        <v>39.06</v>
      </c>
      <c r="T45" s="1">
        <v>3844</v>
      </c>
      <c r="U45" s="1">
        <v>417.18</v>
      </c>
      <c r="V45" s="1">
        <v>62.83</v>
      </c>
      <c r="W45" s="1">
        <v>4.19</v>
      </c>
      <c r="X45" s="1">
        <v>12.72</v>
      </c>
      <c r="AA45" s="1">
        <f t="shared" si="96"/>
        <v>0.0482</v>
      </c>
      <c r="AB45" s="1">
        <f t="shared" si="97"/>
        <v>0.2976</v>
      </c>
      <c r="AC45" s="1">
        <f t="shared" si="98"/>
        <v>0.6203</v>
      </c>
      <c r="AD45" s="1">
        <f t="shared" si="99"/>
        <v>0.6179</v>
      </c>
      <c r="AE45" s="1">
        <f t="shared" si="100"/>
        <v>0.25</v>
      </c>
      <c r="AF45" s="1">
        <f t="shared" si="101"/>
        <v>0.0403</v>
      </c>
      <c r="AG45" s="1">
        <f t="shared" si="102"/>
        <v>0.246</v>
      </c>
      <c r="AH45" s="1">
        <f t="shared" si="103"/>
        <v>0.0113</v>
      </c>
      <c r="AI45" s="1">
        <f t="shared" si="104"/>
        <v>0.0302</v>
      </c>
      <c r="AJ45" s="1">
        <f t="shared" si="105"/>
        <v>0.0545</v>
      </c>
      <c r="AK45" s="1">
        <f t="shared" si="106"/>
        <v>0.557</v>
      </c>
      <c r="AL45" s="1">
        <f t="shared" si="107"/>
        <v>0.4008</v>
      </c>
      <c r="AM45" s="1">
        <f t="shared" si="108"/>
        <v>0.5094</v>
      </c>
      <c r="AN45" s="1">
        <f t="shared" si="109"/>
        <v>0.1842</v>
      </c>
      <c r="AO45" s="1">
        <f t="shared" si="110"/>
        <v>0.0076</v>
      </c>
      <c r="AP45" s="1">
        <f t="shared" si="111"/>
        <v>0.0014</v>
      </c>
      <c r="AQ45" s="1">
        <f t="shared" si="112"/>
        <v>0.0082</v>
      </c>
      <c r="AR45" s="1">
        <f t="shared" si="113"/>
        <v>0.0426</v>
      </c>
      <c r="AS45" s="1">
        <f t="shared" si="114"/>
        <v>0.0705</v>
      </c>
      <c r="AT45" s="1">
        <f t="shared" si="115"/>
        <v>0.4669</v>
      </c>
      <c r="AU45" s="1">
        <f t="shared" si="116"/>
        <v>0.0194</v>
      </c>
      <c r="AV45" s="1">
        <f t="shared" si="117"/>
        <v>0.0279</v>
      </c>
      <c r="AW45" s="4">
        <f t="shared" si="118"/>
        <v>0.0556</v>
      </c>
      <c r="BA45" s="1">
        <f t="shared" si="128"/>
        <v>0.00552125453899816</v>
      </c>
      <c r="BB45" s="1">
        <f t="shared" si="2"/>
        <v>0.00836260432180291</v>
      </c>
      <c r="BC45" s="1">
        <f t="shared" si="3"/>
        <v>0.0128054797461612</v>
      </c>
      <c r="BD45" s="1">
        <f t="shared" ref="BD45:BV45" si="141">AD45/SUM(AD$2:AD$91)</f>
        <v>0.0111662486175465</v>
      </c>
      <c r="BE45" s="1">
        <f t="shared" si="141"/>
        <v>0.0085196582594679</v>
      </c>
      <c r="BF45" s="1">
        <f t="shared" si="141"/>
        <v>0.00490996369307244</v>
      </c>
      <c r="BG45" s="1">
        <f t="shared" si="141"/>
        <v>0.00871515267459533</v>
      </c>
      <c r="BH45" s="1">
        <f t="shared" si="141"/>
        <v>0.00233804390556785</v>
      </c>
      <c r="BI45" s="1">
        <f t="shared" si="141"/>
        <v>0.00349638205499276</v>
      </c>
      <c r="BJ45" s="1">
        <f t="shared" si="141"/>
        <v>0.00635583337220694</v>
      </c>
      <c r="BK45" s="1">
        <f t="shared" si="141"/>
        <v>0.0106611032423535</v>
      </c>
      <c r="BL45" s="1">
        <f t="shared" si="141"/>
        <v>0.0152171519475145</v>
      </c>
      <c r="BM45" s="1">
        <f t="shared" si="141"/>
        <v>0.0133604353812865</v>
      </c>
      <c r="BN45" s="1">
        <f t="shared" si="141"/>
        <v>0.00799725609888464</v>
      </c>
      <c r="BO45" s="1">
        <f t="shared" si="141"/>
        <v>0.000976437032659249</v>
      </c>
      <c r="BP45" s="1">
        <f t="shared" si="141"/>
        <v>0.000226625226625227</v>
      </c>
      <c r="BQ45" s="1">
        <f t="shared" si="141"/>
        <v>0.00241902177119594</v>
      </c>
      <c r="BR45" s="1">
        <f t="shared" si="141"/>
        <v>0.00471353648011684</v>
      </c>
      <c r="BS45" s="1">
        <f t="shared" si="141"/>
        <v>0.00713079187190873</v>
      </c>
      <c r="BT45" s="1">
        <f t="shared" si="141"/>
        <v>0.0128503997688084</v>
      </c>
      <c r="BU45" s="1">
        <f t="shared" si="141"/>
        <v>0.00206653386878575</v>
      </c>
      <c r="BV45" s="1">
        <f t="shared" si="141"/>
        <v>0.00370828182941904</v>
      </c>
      <c r="CA45" s="1">
        <f t="shared" si="120"/>
        <v>-5.19915017295776</v>
      </c>
      <c r="CB45" s="1">
        <f t="shared" ref="CB45:CV45" si="142">IF(BB45=0,0,LN(BB45))</f>
        <v>-4.78398537865159</v>
      </c>
      <c r="CC45" s="1">
        <f t="shared" si="142"/>
        <v>-4.35788209449859</v>
      </c>
      <c r="CD45" s="1">
        <f t="shared" si="142"/>
        <v>-4.49485956675466</v>
      </c>
      <c r="CE45" s="1">
        <f t="shared" si="142"/>
        <v>-4.76537904933645</v>
      </c>
      <c r="CF45" s="1">
        <f t="shared" si="142"/>
        <v>-5.31648873168931</v>
      </c>
      <c r="CG45" s="1">
        <f t="shared" si="142"/>
        <v>-4.74269208156402</v>
      </c>
      <c r="CH45" s="1">
        <f t="shared" si="142"/>
        <v>-6.05844063699488</v>
      </c>
      <c r="CI45" s="1">
        <f t="shared" si="142"/>
        <v>-5.6560265436951</v>
      </c>
      <c r="CJ45" s="1">
        <f t="shared" si="142"/>
        <v>-5.05838224647778</v>
      </c>
      <c r="CK45" s="1">
        <f t="shared" si="142"/>
        <v>-4.54115337194536</v>
      </c>
      <c r="CL45" s="1">
        <f t="shared" si="142"/>
        <v>-4.18533206971486</v>
      </c>
      <c r="CM45" s="1">
        <f t="shared" si="142"/>
        <v>-4.31545752298498</v>
      </c>
      <c r="CN45" s="1">
        <f t="shared" si="142"/>
        <v>-4.82865678377544</v>
      </c>
      <c r="CO45" s="1">
        <f t="shared" si="142"/>
        <v>-6.93160029241046</v>
      </c>
      <c r="CP45" s="1">
        <f t="shared" si="142"/>
        <v>-8.39221288888876</v>
      </c>
      <c r="CQ45" s="1">
        <f t="shared" si="142"/>
        <v>-6.02439204731375</v>
      </c>
      <c r="CR45" s="1">
        <f t="shared" si="142"/>
        <v>-5.3573168076615</v>
      </c>
      <c r="CS45" s="1">
        <f t="shared" si="142"/>
        <v>-4.94333298874407</v>
      </c>
      <c r="CT45" s="1">
        <f t="shared" si="142"/>
        <v>-4.35438035771172</v>
      </c>
      <c r="CU45" s="1">
        <f t="shared" si="142"/>
        <v>-6.18188253470293</v>
      </c>
      <c r="CV45" s="1">
        <f t="shared" si="142"/>
        <v>-5.59718662839038</v>
      </c>
    </row>
    <row r="46" spans="1:100">
      <c r="A46" s="1" t="s">
        <v>33</v>
      </c>
      <c r="B46" s="1">
        <v>2024</v>
      </c>
      <c r="C46" s="1">
        <v>3258.54</v>
      </c>
      <c r="D46" s="1">
        <v>78108</v>
      </c>
      <c r="E46" s="2">
        <v>7</v>
      </c>
      <c r="F46" s="1">
        <v>41.03</v>
      </c>
      <c r="G46" s="1">
        <v>45.53</v>
      </c>
      <c r="H46" s="1">
        <v>184.95</v>
      </c>
      <c r="I46" s="1">
        <f t="shared" si="38"/>
        <v>4433</v>
      </c>
      <c r="J46" s="1">
        <v>0.45</v>
      </c>
      <c r="K46" s="1">
        <v>32.82</v>
      </c>
      <c r="L46" s="1">
        <v>1581.14</v>
      </c>
      <c r="M46" s="1">
        <f t="shared" si="0"/>
        <v>37900</v>
      </c>
      <c r="N46" s="1">
        <v>46151</v>
      </c>
      <c r="O46" s="1">
        <v>24139</v>
      </c>
      <c r="P46" s="1">
        <v>103019</v>
      </c>
      <c r="Q46" s="1">
        <v>76.94</v>
      </c>
      <c r="R46" s="3">
        <v>0.5</v>
      </c>
      <c r="S46" s="1">
        <v>42.31</v>
      </c>
      <c r="T46" s="1">
        <v>4451</v>
      </c>
      <c r="U46" s="1">
        <v>417.19</v>
      </c>
      <c r="V46" s="1">
        <v>63.75</v>
      </c>
      <c r="W46" s="1">
        <v>4.41</v>
      </c>
      <c r="X46" s="1">
        <v>12.21</v>
      </c>
      <c r="AA46" s="1">
        <f t="shared" si="96"/>
        <v>0.0538</v>
      </c>
      <c r="AB46" s="1">
        <f t="shared" si="97"/>
        <v>0.3634</v>
      </c>
      <c r="AC46" s="1">
        <f t="shared" si="98"/>
        <v>0.6316</v>
      </c>
      <c r="AD46" s="1">
        <f t="shared" si="99"/>
        <v>0.7089</v>
      </c>
      <c r="AE46" s="1">
        <f t="shared" si="100"/>
        <v>0.1805</v>
      </c>
      <c r="AF46" s="1">
        <f t="shared" si="101"/>
        <v>0.0461</v>
      </c>
      <c r="AG46" s="1">
        <f t="shared" si="102"/>
        <v>0.2955</v>
      </c>
      <c r="AH46" s="1">
        <f t="shared" si="103"/>
        <v>0.0036</v>
      </c>
      <c r="AI46" s="1">
        <f t="shared" si="104"/>
        <v>0.0331</v>
      </c>
      <c r="AJ46" s="1">
        <f t="shared" si="105"/>
        <v>0.0576</v>
      </c>
      <c r="AK46" s="1">
        <f t="shared" si="106"/>
        <v>0.5903</v>
      </c>
      <c r="AL46" s="1">
        <f t="shared" si="107"/>
        <v>0.461</v>
      </c>
      <c r="AM46" s="1">
        <f t="shared" si="108"/>
        <v>0.5753</v>
      </c>
      <c r="AN46" s="1">
        <f t="shared" si="109"/>
        <v>0.2233</v>
      </c>
      <c r="AO46" s="1">
        <f t="shared" si="110"/>
        <v>0.0083</v>
      </c>
      <c r="AP46" s="1">
        <f t="shared" si="111"/>
        <v>0.0004</v>
      </c>
      <c r="AQ46" s="1">
        <f t="shared" si="112"/>
        <v>0.0089</v>
      </c>
      <c r="AR46" s="1">
        <f t="shared" si="113"/>
        <v>0.0495</v>
      </c>
      <c r="AS46" s="1">
        <f t="shared" si="114"/>
        <v>0.0705</v>
      </c>
      <c r="AT46" s="1">
        <f t="shared" si="115"/>
        <v>0.4891</v>
      </c>
      <c r="AU46" s="1">
        <f t="shared" si="116"/>
        <v>0.0204</v>
      </c>
      <c r="AV46" s="1">
        <f t="shared" si="117"/>
        <v>0.0268</v>
      </c>
      <c r="AW46" s="4">
        <f t="shared" si="118"/>
        <v>0.059</v>
      </c>
      <c r="BA46" s="1">
        <f t="shared" si="128"/>
        <v>0.00616272809539628</v>
      </c>
      <c r="BB46" s="1">
        <f t="shared" si="2"/>
        <v>0.0102115941214488</v>
      </c>
      <c r="BC46" s="1">
        <f t="shared" si="3"/>
        <v>0.0130387570654126</v>
      </c>
      <c r="BD46" s="1">
        <f t="shared" ref="BD46:BV46" si="143">AD46/SUM(AD$2:AD$91)</f>
        <v>0.0128107357905466</v>
      </c>
      <c r="BE46" s="1">
        <f t="shared" si="143"/>
        <v>0.00615119326333582</v>
      </c>
      <c r="BF46" s="1">
        <f t="shared" si="143"/>
        <v>0.00561660859182729</v>
      </c>
      <c r="BG46" s="1">
        <f t="shared" si="143"/>
        <v>0.0104688114444834</v>
      </c>
      <c r="BH46" s="1">
        <f t="shared" si="143"/>
        <v>0.000744863545136661</v>
      </c>
      <c r="BI46" s="1">
        <f t="shared" si="143"/>
        <v>0.00383212735166425</v>
      </c>
      <c r="BJ46" s="1">
        <f t="shared" si="143"/>
        <v>0.0067173578392499</v>
      </c>
      <c r="BK46" s="1">
        <f t="shared" si="143"/>
        <v>0.0112984726103434</v>
      </c>
      <c r="BL46" s="1">
        <f t="shared" si="143"/>
        <v>0.0175027620953198</v>
      </c>
      <c r="BM46" s="1">
        <f t="shared" si="143"/>
        <v>0.0150888466330077</v>
      </c>
      <c r="BN46" s="1">
        <f t="shared" si="143"/>
        <v>0.00969482783322986</v>
      </c>
      <c r="BO46" s="1">
        <f t="shared" si="143"/>
        <v>0.00106637202250944</v>
      </c>
      <c r="BP46" s="1">
        <f t="shared" si="143"/>
        <v>6.47500647500647e-5</v>
      </c>
      <c r="BQ46" s="1">
        <f t="shared" si="143"/>
        <v>0.00262552362971267</v>
      </c>
      <c r="BR46" s="1">
        <f t="shared" si="143"/>
        <v>0.00547699661422027</v>
      </c>
      <c r="BS46" s="1">
        <f t="shared" si="143"/>
        <v>0.00713079187190873</v>
      </c>
      <c r="BT46" s="1">
        <f t="shared" si="143"/>
        <v>0.0134614061403388</v>
      </c>
      <c r="BU46" s="1">
        <f t="shared" si="143"/>
        <v>0.00217305623315615</v>
      </c>
      <c r="BV46" s="1">
        <f t="shared" si="143"/>
        <v>0.00356207716947778</v>
      </c>
      <c r="CA46" s="1">
        <f t="shared" si="120"/>
        <v>-5.08923572684658</v>
      </c>
      <c r="CB46" s="1">
        <f t="shared" ref="CB46:CV46" si="144">IF(BB46=0,0,LN(BB46))</f>
        <v>-4.58423152564846</v>
      </c>
      <c r="CC46" s="1">
        <f t="shared" si="144"/>
        <v>-4.33982904409618</v>
      </c>
      <c r="CD46" s="1">
        <f t="shared" si="144"/>
        <v>-4.35747172596062</v>
      </c>
      <c r="CE46" s="1">
        <f t="shared" si="144"/>
        <v>-5.09110918942576</v>
      </c>
      <c r="CF46" s="1">
        <f t="shared" si="144"/>
        <v>-5.18202725063935</v>
      </c>
      <c r="CG46" s="1">
        <f t="shared" si="144"/>
        <v>-4.55935478065023</v>
      </c>
      <c r="CH46" s="1">
        <f t="shared" si="144"/>
        <v>-7.20230951725111</v>
      </c>
      <c r="CI46" s="1">
        <f t="shared" si="144"/>
        <v>-5.56433518569291</v>
      </c>
      <c r="CJ46" s="1">
        <f t="shared" si="144"/>
        <v>-5.00306038044513</v>
      </c>
      <c r="CK46" s="1">
        <f t="shared" si="144"/>
        <v>-4.48308772962601</v>
      </c>
      <c r="CL46" s="1">
        <f t="shared" si="144"/>
        <v>-4.04539657648887</v>
      </c>
      <c r="CM46" s="1">
        <f t="shared" si="144"/>
        <v>-4.19379944166109</v>
      </c>
      <c r="CN46" s="1">
        <f t="shared" si="144"/>
        <v>-4.63616274875053</v>
      </c>
      <c r="CO46" s="1">
        <f t="shared" si="144"/>
        <v>-6.84349302490019</v>
      </c>
      <c r="CP46" s="1">
        <f t="shared" si="144"/>
        <v>-9.64497585738413</v>
      </c>
      <c r="CQ46" s="1">
        <f t="shared" si="144"/>
        <v>-5.94247492484586</v>
      </c>
      <c r="CR46" s="1">
        <f t="shared" si="144"/>
        <v>-5.20719839136218</v>
      </c>
      <c r="CS46" s="1">
        <f t="shared" si="144"/>
        <v>-4.94333298874407</v>
      </c>
      <c r="CT46" s="1">
        <f t="shared" si="144"/>
        <v>-4.3079284921433</v>
      </c>
      <c r="CU46" s="1">
        <f t="shared" si="144"/>
        <v>-6.13162069992204</v>
      </c>
      <c r="CV46" s="1">
        <f t="shared" si="144"/>
        <v>-5.63741142970089</v>
      </c>
    </row>
    <row r="47" spans="1:100">
      <c r="A47" s="1" t="s">
        <v>34</v>
      </c>
      <c r="B47" s="1">
        <v>2020</v>
      </c>
      <c r="C47" s="1">
        <v>2369.04</v>
      </c>
      <c r="D47" s="1">
        <v>43866</v>
      </c>
      <c r="E47" s="1">
        <v>-5.9</v>
      </c>
      <c r="F47" s="1">
        <v>34.03</v>
      </c>
      <c r="G47" s="1">
        <v>46.85</v>
      </c>
      <c r="H47" s="1">
        <v>105.41</v>
      </c>
      <c r="I47" s="1">
        <f t="shared" si="38"/>
        <v>2015</v>
      </c>
      <c r="J47" s="1">
        <v>0.87</v>
      </c>
      <c r="K47" s="3">
        <v>17.4</v>
      </c>
      <c r="L47" s="1">
        <v>1248.74</v>
      </c>
      <c r="M47" s="1">
        <f t="shared" si="0"/>
        <v>23871</v>
      </c>
      <c r="N47" s="1">
        <v>34474</v>
      </c>
      <c r="O47" s="1">
        <v>18817</v>
      </c>
      <c r="P47" s="1">
        <v>70759</v>
      </c>
      <c r="Q47" s="1">
        <v>601.9</v>
      </c>
      <c r="R47" s="1">
        <v>15.2</v>
      </c>
      <c r="S47" s="1">
        <v>35.45</v>
      </c>
      <c r="T47" s="1">
        <v>4017</v>
      </c>
      <c r="U47" s="1">
        <v>523.12</v>
      </c>
      <c r="V47" s="1">
        <v>55.52</v>
      </c>
      <c r="W47" s="1">
        <v>14.52</v>
      </c>
      <c r="X47" s="1">
        <v>8.93</v>
      </c>
      <c r="AA47" s="1">
        <f t="shared" si="96"/>
        <v>0.039</v>
      </c>
      <c r="AB47" s="1">
        <f t="shared" si="97"/>
        <v>0.0897</v>
      </c>
      <c r="AC47" s="1">
        <f t="shared" si="98"/>
        <v>0.1466</v>
      </c>
      <c r="AD47" s="1">
        <f t="shared" si="99"/>
        <v>0.4401</v>
      </c>
      <c r="AE47" s="1">
        <f t="shared" si="100"/>
        <v>0.2296</v>
      </c>
      <c r="AF47" s="1">
        <f t="shared" si="101"/>
        <v>0.0258</v>
      </c>
      <c r="AG47" s="1">
        <f t="shared" si="102"/>
        <v>0.0726</v>
      </c>
      <c r="AH47" s="1">
        <f t="shared" si="103"/>
        <v>0.007</v>
      </c>
      <c r="AI47" s="1">
        <f t="shared" si="104"/>
        <v>0.0175</v>
      </c>
      <c r="AJ47" s="1">
        <f t="shared" si="105"/>
        <v>0.0454</v>
      </c>
      <c r="AK47" s="1">
        <f t="shared" si="106"/>
        <v>0.3566</v>
      </c>
      <c r="AL47" s="1">
        <f t="shared" si="107"/>
        <v>0.1151</v>
      </c>
      <c r="AM47" s="1">
        <f t="shared" si="108"/>
        <v>0.3347</v>
      </c>
      <c r="AN47" s="1">
        <f t="shared" si="109"/>
        <v>0.0921</v>
      </c>
      <c r="AO47" s="1">
        <f t="shared" si="110"/>
        <v>0.0661</v>
      </c>
      <c r="AP47" s="1">
        <f t="shared" si="111"/>
        <v>0.0136</v>
      </c>
      <c r="AQ47" s="1">
        <f t="shared" si="112"/>
        <v>0.0074</v>
      </c>
      <c r="AR47" s="1">
        <f t="shared" si="113"/>
        <v>0.0445</v>
      </c>
      <c r="AS47" s="1">
        <f t="shared" si="114"/>
        <v>0.0886</v>
      </c>
      <c r="AT47" s="1">
        <f t="shared" si="115"/>
        <v>0.2912</v>
      </c>
      <c r="AU47" s="1">
        <f t="shared" si="116"/>
        <v>0.0673</v>
      </c>
      <c r="AV47" s="1">
        <f t="shared" si="117"/>
        <v>0.0192</v>
      </c>
      <c r="AW47" s="4">
        <f t="shared" si="118"/>
        <v>0.0463</v>
      </c>
      <c r="BA47" s="1">
        <f t="shared" si="128"/>
        <v>0.00446740512491552</v>
      </c>
      <c r="BB47" s="1">
        <f t="shared" si="2"/>
        <v>0.0025205833590918</v>
      </c>
      <c r="BC47" s="1">
        <f t="shared" si="3"/>
        <v>0.00302641194710178</v>
      </c>
      <c r="BD47" s="1">
        <f t="shared" ref="BD47:BV47" si="145">AD47/SUM(AD$2:AD$91)</f>
        <v>0.00795317367953102</v>
      </c>
      <c r="BE47" s="1">
        <f t="shared" si="145"/>
        <v>0.00782445414549532</v>
      </c>
      <c r="BF47" s="1">
        <f t="shared" si="145"/>
        <v>0.00314335144618534</v>
      </c>
      <c r="BG47" s="1">
        <f t="shared" si="145"/>
        <v>0.00257203286250252</v>
      </c>
      <c r="BH47" s="1">
        <f t="shared" si="145"/>
        <v>0.00144834578221017</v>
      </c>
      <c r="BI47" s="1">
        <f t="shared" si="145"/>
        <v>0.0020260492040521</v>
      </c>
      <c r="BJ47" s="1">
        <f t="shared" si="145"/>
        <v>0.00529458413024211</v>
      </c>
      <c r="BK47" s="1">
        <f t="shared" si="145"/>
        <v>0.00682540290165754</v>
      </c>
      <c r="BL47" s="1">
        <f t="shared" si="145"/>
        <v>0.00436999548193343</v>
      </c>
      <c r="BM47" s="1">
        <f t="shared" si="145"/>
        <v>0.00877844075798308</v>
      </c>
      <c r="BN47" s="1">
        <f t="shared" si="145"/>
        <v>0.00399862804944232</v>
      </c>
      <c r="BO47" s="1">
        <f t="shared" si="145"/>
        <v>0.00849243261299689</v>
      </c>
      <c r="BP47" s="1">
        <f t="shared" si="145"/>
        <v>0.0022015022015022</v>
      </c>
      <c r="BQ47" s="1">
        <f t="shared" si="145"/>
        <v>0.00218301964717682</v>
      </c>
      <c r="BR47" s="1">
        <f t="shared" si="145"/>
        <v>0.0049237646329859</v>
      </c>
      <c r="BS47" s="1">
        <f t="shared" si="145"/>
        <v>0.00896153418228529</v>
      </c>
      <c r="BT47" s="1">
        <f t="shared" si="145"/>
        <v>0.0080146421346691</v>
      </c>
      <c r="BU47" s="1">
        <f t="shared" si="145"/>
        <v>0.00716895512212789</v>
      </c>
      <c r="BV47" s="1">
        <f t="shared" si="145"/>
        <v>0.00255193588261095</v>
      </c>
      <c r="CA47" s="1">
        <f t="shared" si="120"/>
        <v>-5.41094754788467</v>
      </c>
      <c r="CB47" s="1">
        <f t="shared" ref="CB47:CV47" si="146">IF(BB47=0,0,LN(BB47))</f>
        <v>-5.98326491254578</v>
      </c>
      <c r="CC47" s="1">
        <f t="shared" si="146"/>
        <v>-5.80037753702511</v>
      </c>
      <c r="CD47" s="1">
        <f t="shared" si="146"/>
        <v>-4.83418422500455</v>
      </c>
      <c r="CE47" s="1">
        <f t="shared" si="146"/>
        <v>-4.85050130275328</v>
      </c>
      <c r="CF47" s="1">
        <f t="shared" si="146"/>
        <v>-5.76246570871438</v>
      </c>
      <c r="CG47" s="1">
        <f t="shared" si="146"/>
        <v>-5.96305869566564</v>
      </c>
      <c r="CH47" s="1">
        <f t="shared" si="146"/>
        <v>-6.53733321365786</v>
      </c>
      <c r="CI47" s="1">
        <f t="shared" si="146"/>
        <v>-6.20166758714646</v>
      </c>
      <c r="CJ47" s="1">
        <f t="shared" si="146"/>
        <v>-5.24107084309968</v>
      </c>
      <c r="CK47" s="1">
        <f t="shared" si="146"/>
        <v>-4.98710390644361</v>
      </c>
      <c r="CL47" s="1">
        <f t="shared" si="146"/>
        <v>-5.43299330375768</v>
      </c>
      <c r="CM47" s="1">
        <f t="shared" si="146"/>
        <v>-4.73545647731306</v>
      </c>
      <c r="CN47" s="1">
        <f t="shared" si="146"/>
        <v>-5.52180396433538</v>
      </c>
      <c r="CO47" s="1">
        <f t="shared" si="146"/>
        <v>-4.7685797928451</v>
      </c>
      <c r="CP47" s="1">
        <f t="shared" si="146"/>
        <v>-6.11861533276797</v>
      </c>
      <c r="CQ47" s="1">
        <f t="shared" si="146"/>
        <v>-6.12704620137383</v>
      </c>
      <c r="CR47" s="1">
        <f t="shared" si="146"/>
        <v>-5.31368187176463</v>
      </c>
      <c r="CS47" s="1">
        <f t="shared" si="146"/>
        <v>-4.71481384095126</v>
      </c>
      <c r="CT47" s="1">
        <f t="shared" si="146"/>
        <v>-4.82648514336608</v>
      </c>
      <c r="CU47" s="1">
        <f t="shared" si="146"/>
        <v>-4.93799536412153</v>
      </c>
      <c r="CV47" s="1">
        <f t="shared" si="146"/>
        <v>-5.97090303818397</v>
      </c>
    </row>
    <row r="48" spans="1:100">
      <c r="A48" s="1" t="s">
        <v>34</v>
      </c>
      <c r="B48" s="1">
        <v>2021</v>
      </c>
      <c r="C48" s="1">
        <v>2715.52</v>
      </c>
      <c r="D48" s="1">
        <v>52380</v>
      </c>
      <c r="E48" s="2">
        <v>12</v>
      </c>
      <c r="F48" s="1">
        <v>32.38</v>
      </c>
      <c r="G48" s="1">
        <v>48.19</v>
      </c>
      <c r="H48" s="1">
        <v>136.76</v>
      </c>
      <c r="I48" s="1">
        <f t="shared" si="38"/>
        <v>2662</v>
      </c>
      <c r="J48" s="1">
        <v>2.13</v>
      </c>
      <c r="K48" s="1">
        <v>22.57</v>
      </c>
      <c r="L48" s="1">
        <v>1590.85</v>
      </c>
      <c r="M48" s="1">
        <f t="shared" si="0"/>
        <v>30967</v>
      </c>
      <c r="N48" s="1">
        <v>38231</v>
      </c>
      <c r="O48" s="1">
        <v>21207</v>
      </c>
      <c r="P48" s="1">
        <v>77675</v>
      </c>
      <c r="Q48" s="1">
        <v>671.13</v>
      </c>
      <c r="R48" s="1">
        <v>13.88</v>
      </c>
      <c r="S48" s="1">
        <v>38.46</v>
      </c>
      <c r="T48" s="1">
        <v>6070</v>
      </c>
      <c r="U48" s="1">
        <v>513.73</v>
      </c>
      <c r="V48" s="1">
        <v>56.52</v>
      </c>
      <c r="W48" s="1">
        <v>16.12</v>
      </c>
      <c r="X48" s="1">
        <v>11.96</v>
      </c>
      <c r="AA48" s="1">
        <f t="shared" si="96"/>
        <v>0.0448</v>
      </c>
      <c r="AB48" s="1">
        <f t="shared" si="97"/>
        <v>0.1577</v>
      </c>
      <c r="AC48" s="1">
        <f t="shared" si="98"/>
        <v>0.8195</v>
      </c>
      <c r="AD48" s="1">
        <f t="shared" si="99"/>
        <v>0.3767</v>
      </c>
      <c r="AE48" s="1">
        <f t="shared" si="100"/>
        <v>0.2793</v>
      </c>
      <c r="AF48" s="1">
        <f t="shared" si="101"/>
        <v>0.0338</v>
      </c>
      <c r="AG48" s="1">
        <f t="shared" si="102"/>
        <v>0.1322</v>
      </c>
      <c r="AH48" s="1">
        <f t="shared" si="103"/>
        <v>0.0171</v>
      </c>
      <c r="AI48" s="1">
        <f t="shared" si="104"/>
        <v>0.0228</v>
      </c>
      <c r="AJ48" s="1">
        <f t="shared" si="105"/>
        <v>0.0579</v>
      </c>
      <c r="AK48" s="1">
        <f t="shared" si="106"/>
        <v>0.4748</v>
      </c>
      <c r="AL48" s="1">
        <f t="shared" si="107"/>
        <v>0.2264</v>
      </c>
      <c r="AM48" s="1">
        <f t="shared" si="108"/>
        <v>0.4427</v>
      </c>
      <c r="AN48" s="1">
        <f t="shared" si="109"/>
        <v>0.1202</v>
      </c>
      <c r="AO48" s="1">
        <f t="shared" si="110"/>
        <v>0.0738</v>
      </c>
      <c r="AP48" s="1">
        <f t="shared" si="111"/>
        <v>0.0125</v>
      </c>
      <c r="AQ48" s="1">
        <f t="shared" si="112"/>
        <v>0.0081</v>
      </c>
      <c r="AR48" s="1">
        <f t="shared" si="113"/>
        <v>0.0681</v>
      </c>
      <c r="AS48" s="1">
        <f t="shared" si="114"/>
        <v>0.087</v>
      </c>
      <c r="AT48" s="1">
        <f t="shared" si="115"/>
        <v>0.3152</v>
      </c>
      <c r="AU48" s="1">
        <f t="shared" si="116"/>
        <v>0.0747</v>
      </c>
      <c r="AV48" s="1">
        <f t="shared" si="117"/>
        <v>0.0262</v>
      </c>
      <c r="AW48" s="4">
        <f t="shared" si="118"/>
        <v>0.0608</v>
      </c>
      <c r="BA48" s="1">
        <f t="shared" si="128"/>
        <v>0.00513178845118501</v>
      </c>
      <c r="BB48" s="1">
        <f t="shared" si="2"/>
        <v>0.00443139348638548</v>
      </c>
      <c r="BC48" s="1">
        <f t="shared" si="3"/>
        <v>0.0169177666483623</v>
      </c>
      <c r="BD48" s="1">
        <f t="shared" ref="BD48:BV48" si="147">AD48/SUM(AD$2:AD$91)</f>
        <v>0.0068074540447156</v>
      </c>
      <c r="BE48" s="1">
        <f t="shared" si="147"/>
        <v>0.00951816220747754</v>
      </c>
      <c r="BF48" s="1">
        <f t="shared" si="147"/>
        <v>0.00411803406515753</v>
      </c>
      <c r="BG48" s="1">
        <f t="shared" si="147"/>
        <v>0.00468350887634757</v>
      </c>
      <c r="BH48" s="1">
        <f t="shared" si="147"/>
        <v>0.00353810183939914</v>
      </c>
      <c r="BI48" s="1">
        <f t="shared" si="147"/>
        <v>0.00263965267727931</v>
      </c>
      <c r="BJ48" s="1">
        <f t="shared" si="147"/>
        <v>0.00675234407799599</v>
      </c>
      <c r="BK48" s="1">
        <f t="shared" si="147"/>
        <v>0.00908777705470275</v>
      </c>
      <c r="BL48" s="1">
        <f t="shared" si="147"/>
        <v>0.0085957165691549</v>
      </c>
      <c r="BM48" s="1">
        <f t="shared" si="147"/>
        <v>0.0116110418988919</v>
      </c>
      <c r="BN48" s="1">
        <f t="shared" si="147"/>
        <v>0.00521862205801267</v>
      </c>
      <c r="BO48" s="1">
        <f t="shared" si="147"/>
        <v>0.00948171750134903</v>
      </c>
      <c r="BP48" s="1">
        <f t="shared" si="147"/>
        <v>0.00202343952343952</v>
      </c>
      <c r="BQ48" s="1">
        <f t="shared" si="147"/>
        <v>0.00238952150569355</v>
      </c>
      <c r="BR48" s="1">
        <f t="shared" si="147"/>
        <v>0.00753501958441213</v>
      </c>
      <c r="BS48" s="1">
        <f t="shared" si="147"/>
        <v>0.00879970060788736</v>
      </c>
      <c r="BT48" s="1">
        <f t="shared" si="147"/>
        <v>0.00867518956335062</v>
      </c>
      <c r="BU48" s="1">
        <f t="shared" si="147"/>
        <v>0.00795722061846885</v>
      </c>
      <c r="BV48" s="1">
        <f t="shared" si="147"/>
        <v>0.00348232917314619</v>
      </c>
      <c r="CA48" s="1">
        <f t="shared" si="120"/>
        <v>-5.27230105459338</v>
      </c>
      <c r="CB48" s="1">
        <f t="shared" ref="CB48:CV48" si="148">IF(BB48=0,0,LN(BB48))</f>
        <v>-5.41904118764154</v>
      </c>
      <c r="CC48" s="1">
        <f t="shared" si="148"/>
        <v>-4.07939092829378</v>
      </c>
      <c r="CD48" s="1">
        <f t="shared" si="148"/>
        <v>-4.9897370841236</v>
      </c>
      <c r="CE48" s="1">
        <f t="shared" si="148"/>
        <v>-4.65455349424756</v>
      </c>
      <c r="CF48" s="1">
        <f t="shared" si="148"/>
        <v>-5.49237939815298</v>
      </c>
      <c r="CG48" s="1">
        <f t="shared" si="148"/>
        <v>-5.3637076900788</v>
      </c>
      <c r="CH48" s="1">
        <f t="shared" si="148"/>
        <v>-5.64416489920456</v>
      </c>
      <c r="CI48" s="1">
        <f t="shared" si="148"/>
        <v>-5.93710793211553</v>
      </c>
      <c r="CJ48" s="1">
        <f t="shared" si="148"/>
        <v>-4.99786556356803</v>
      </c>
      <c r="CK48" s="1">
        <f t="shared" si="148"/>
        <v>-4.70082494913714</v>
      </c>
      <c r="CL48" s="1">
        <f t="shared" si="148"/>
        <v>-4.75649127315649</v>
      </c>
      <c r="CM48" s="1">
        <f t="shared" si="148"/>
        <v>-4.45579874579224</v>
      </c>
      <c r="CN48" s="1">
        <f t="shared" si="148"/>
        <v>-5.25552188549553</v>
      </c>
      <c r="CO48" s="1">
        <f t="shared" si="148"/>
        <v>-4.65838980809632</v>
      </c>
      <c r="CP48" s="1">
        <f t="shared" si="148"/>
        <v>-6.20295648120172</v>
      </c>
      <c r="CQ48" s="1">
        <f t="shared" si="148"/>
        <v>-6.03666213990556</v>
      </c>
      <c r="CR48" s="1">
        <f t="shared" si="148"/>
        <v>-4.88819384778136</v>
      </c>
      <c r="CS48" s="1">
        <f t="shared" si="148"/>
        <v>-4.73303757990771</v>
      </c>
      <c r="CT48" s="1">
        <f t="shared" si="148"/>
        <v>-4.74728810170489</v>
      </c>
      <c r="CU48" s="1">
        <f t="shared" si="148"/>
        <v>-4.83367550863344</v>
      </c>
      <c r="CV48" s="1">
        <f t="shared" si="148"/>
        <v>-5.66005390645065</v>
      </c>
    </row>
    <row r="49" spans="1:100">
      <c r="A49" s="1" t="s">
        <v>34</v>
      </c>
      <c r="B49" s="1">
        <v>2022</v>
      </c>
      <c r="C49" s="1">
        <v>3008.61</v>
      </c>
      <c r="D49" s="1">
        <v>58577</v>
      </c>
      <c r="E49" s="1">
        <v>5.1</v>
      </c>
      <c r="F49" s="1">
        <v>35.66</v>
      </c>
      <c r="G49" s="1">
        <v>45.33</v>
      </c>
      <c r="H49" s="1">
        <v>142.05</v>
      </c>
      <c r="I49" s="1">
        <f t="shared" si="38"/>
        <v>2766</v>
      </c>
      <c r="J49" s="1">
        <v>0.83</v>
      </c>
      <c r="K49" s="1">
        <v>30.95</v>
      </c>
      <c r="L49" s="1">
        <v>1672.56</v>
      </c>
      <c r="M49" s="1">
        <f t="shared" si="0"/>
        <v>32571</v>
      </c>
      <c r="N49" s="1">
        <v>40678</v>
      </c>
      <c r="O49" s="1">
        <v>22904</v>
      </c>
      <c r="P49" s="1">
        <v>87949</v>
      </c>
      <c r="Q49" s="1">
        <v>904.45</v>
      </c>
      <c r="R49" s="1">
        <v>10.98</v>
      </c>
      <c r="S49" s="1">
        <v>41.93</v>
      </c>
      <c r="T49" s="1">
        <v>5800</v>
      </c>
      <c r="U49" s="1">
        <v>513.51</v>
      </c>
      <c r="V49" s="1">
        <v>57.12</v>
      </c>
      <c r="W49" s="1">
        <v>17.41</v>
      </c>
      <c r="X49" s="1">
        <v>17.12</v>
      </c>
      <c r="AA49" s="1">
        <f t="shared" si="96"/>
        <v>0.0496</v>
      </c>
      <c r="AB49" s="1">
        <f t="shared" si="97"/>
        <v>0.2073</v>
      </c>
      <c r="AC49" s="1">
        <f t="shared" si="98"/>
        <v>0.5602</v>
      </c>
      <c r="AD49" s="1">
        <f t="shared" si="99"/>
        <v>0.5027</v>
      </c>
      <c r="AE49" s="1">
        <f t="shared" si="100"/>
        <v>0.1731</v>
      </c>
      <c r="AF49" s="1">
        <f t="shared" si="101"/>
        <v>0.0351</v>
      </c>
      <c r="AG49" s="1">
        <f t="shared" si="102"/>
        <v>0.1418</v>
      </c>
      <c r="AH49" s="1">
        <f t="shared" si="103"/>
        <v>0.0067</v>
      </c>
      <c r="AI49" s="1">
        <f t="shared" si="104"/>
        <v>0.0312</v>
      </c>
      <c r="AJ49" s="1">
        <f t="shared" si="105"/>
        <v>0.0609</v>
      </c>
      <c r="AK49" s="1">
        <f t="shared" si="106"/>
        <v>0.5015</v>
      </c>
      <c r="AL49" s="1">
        <f t="shared" si="107"/>
        <v>0.2989</v>
      </c>
      <c r="AM49" s="1">
        <f t="shared" si="108"/>
        <v>0.5195</v>
      </c>
      <c r="AN49" s="1">
        <f t="shared" si="109"/>
        <v>0.162</v>
      </c>
      <c r="AO49" s="1">
        <f t="shared" si="110"/>
        <v>0.0994</v>
      </c>
      <c r="AP49" s="1">
        <f t="shared" si="111"/>
        <v>0.0098</v>
      </c>
      <c r="AQ49" s="1">
        <f t="shared" si="112"/>
        <v>0.0088</v>
      </c>
      <c r="AR49" s="1">
        <f t="shared" si="113"/>
        <v>0.065</v>
      </c>
      <c r="AS49" s="1">
        <f t="shared" si="114"/>
        <v>0.087</v>
      </c>
      <c r="AT49" s="1">
        <f t="shared" si="115"/>
        <v>0.3296</v>
      </c>
      <c r="AU49" s="1">
        <f t="shared" si="116"/>
        <v>0.0807</v>
      </c>
      <c r="AV49" s="1">
        <f t="shared" si="117"/>
        <v>0.0381</v>
      </c>
      <c r="AW49" s="4">
        <f t="shared" si="118"/>
        <v>0.0643</v>
      </c>
      <c r="BA49" s="1">
        <f t="shared" si="128"/>
        <v>0.00568162292809769</v>
      </c>
      <c r="BB49" s="1">
        <f t="shared" si="2"/>
        <v>0.00582516087335263</v>
      </c>
      <c r="BC49" s="1">
        <f t="shared" si="3"/>
        <v>0.0115647747119128</v>
      </c>
      <c r="BD49" s="1">
        <f t="shared" ref="BD49:BV49" si="149">AD49/SUM(AD$2:AD$91)</f>
        <v>0.00908443628425413</v>
      </c>
      <c r="BE49" s="1">
        <f t="shared" si="149"/>
        <v>0.00589901137885557</v>
      </c>
      <c r="BF49" s="1">
        <f t="shared" si="149"/>
        <v>0.00427641999074051</v>
      </c>
      <c r="BG49" s="1">
        <f t="shared" si="149"/>
        <v>0.00502361239535617</v>
      </c>
      <c r="BH49" s="1">
        <f t="shared" si="149"/>
        <v>0.00138627382011545</v>
      </c>
      <c r="BI49" s="1">
        <f t="shared" si="149"/>
        <v>0.00361215629522431</v>
      </c>
      <c r="BJ49" s="1">
        <f t="shared" si="149"/>
        <v>0.00710220646545693</v>
      </c>
      <c r="BK49" s="1">
        <f t="shared" si="149"/>
        <v>0.00959882096237033</v>
      </c>
      <c r="BL49" s="1">
        <f t="shared" si="149"/>
        <v>0.0113483201524753</v>
      </c>
      <c r="BM49" s="1">
        <f t="shared" si="149"/>
        <v>0.0136253360435381</v>
      </c>
      <c r="BN49" s="1">
        <f t="shared" si="149"/>
        <v>0.00703341741595717</v>
      </c>
      <c r="BO49" s="1">
        <f t="shared" si="149"/>
        <v>0.0127707685587276</v>
      </c>
      <c r="BP49" s="1">
        <f t="shared" si="149"/>
        <v>0.00158637658637659</v>
      </c>
      <c r="BQ49" s="1">
        <f t="shared" si="149"/>
        <v>0.00259602336421028</v>
      </c>
      <c r="BR49" s="1">
        <f t="shared" si="149"/>
        <v>0.00719201575604682</v>
      </c>
      <c r="BS49" s="1">
        <f t="shared" si="149"/>
        <v>0.00879970060788736</v>
      </c>
      <c r="BT49" s="1">
        <f t="shared" si="149"/>
        <v>0.00907151802055953</v>
      </c>
      <c r="BU49" s="1">
        <f t="shared" si="149"/>
        <v>0.00859635480469124</v>
      </c>
      <c r="BV49" s="1">
        <f t="shared" si="149"/>
        <v>0.0050639977670561</v>
      </c>
      <c r="CA49" s="1">
        <f t="shared" si="120"/>
        <v>-5.17051836028344</v>
      </c>
      <c r="CB49" s="1">
        <f t="shared" ref="CB49:CV49" si="150">IF(BB49=0,0,LN(BB49))</f>
        <v>-5.1455686621688</v>
      </c>
      <c r="CC49" s="1">
        <f t="shared" si="150"/>
        <v>-4.45979146365166</v>
      </c>
      <c r="CD49" s="1">
        <f t="shared" si="150"/>
        <v>-4.70119262812306</v>
      </c>
      <c r="CE49" s="1">
        <f t="shared" si="150"/>
        <v>-5.13297050501653</v>
      </c>
      <c r="CF49" s="1">
        <f t="shared" si="150"/>
        <v>-5.45463907017013</v>
      </c>
      <c r="CG49" s="1">
        <f t="shared" si="150"/>
        <v>-5.29360600339836</v>
      </c>
      <c r="CH49" s="1">
        <f t="shared" si="150"/>
        <v>-6.58113583631625</v>
      </c>
      <c r="CI49" s="1">
        <f t="shared" si="150"/>
        <v>-5.62345037326049</v>
      </c>
      <c r="CJ49" s="1">
        <f t="shared" si="150"/>
        <v>-4.94734977343113</v>
      </c>
      <c r="CK49" s="1">
        <f t="shared" si="150"/>
        <v>-4.64611500447066</v>
      </c>
      <c r="CL49" s="1">
        <f t="shared" si="150"/>
        <v>-4.47868555019563</v>
      </c>
      <c r="CM49" s="1">
        <f t="shared" si="150"/>
        <v>-4.29582427499106</v>
      </c>
      <c r="CN49" s="1">
        <f t="shared" si="150"/>
        <v>-4.95708257236426</v>
      </c>
      <c r="CO49" s="1">
        <f t="shared" si="150"/>
        <v>-4.36059642604022</v>
      </c>
      <c r="CP49" s="1">
        <f t="shared" si="150"/>
        <v>-6.44630273983345</v>
      </c>
      <c r="CQ49" s="1">
        <f t="shared" si="150"/>
        <v>-5.95377448009979</v>
      </c>
      <c r="CR49" s="1">
        <f t="shared" si="150"/>
        <v>-4.93478379104119</v>
      </c>
      <c r="CS49" s="1">
        <f t="shared" si="150"/>
        <v>-4.73303757990771</v>
      </c>
      <c r="CT49" s="1">
        <f t="shared" si="150"/>
        <v>-4.7026156616533</v>
      </c>
      <c r="CU49" s="1">
        <f t="shared" si="150"/>
        <v>-4.75641702549631</v>
      </c>
      <c r="CV49" s="1">
        <f t="shared" si="150"/>
        <v>-5.28559903508505</v>
      </c>
    </row>
    <row r="50" spans="1:100">
      <c r="A50" s="1" t="s">
        <v>34</v>
      </c>
      <c r="B50" s="1">
        <v>2023</v>
      </c>
      <c r="C50" s="1">
        <v>3151.49</v>
      </c>
      <c r="D50" s="1">
        <v>61369</v>
      </c>
      <c r="E50" s="1">
        <v>6.4</v>
      </c>
      <c r="F50" s="1">
        <v>34.41</v>
      </c>
      <c r="G50" s="1">
        <v>46.33</v>
      </c>
      <c r="H50" s="1">
        <v>168.75</v>
      </c>
      <c r="I50" s="1">
        <f t="shared" si="38"/>
        <v>3286</v>
      </c>
      <c r="J50" s="1">
        <v>0.96</v>
      </c>
      <c r="K50" s="1">
        <v>30.87</v>
      </c>
      <c r="L50" s="1">
        <v>1843.72</v>
      </c>
      <c r="M50" s="1">
        <f t="shared" si="0"/>
        <v>35901</v>
      </c>
      <c r="N50" s="1">
        <v>43018</v>
      </c>
      <c r="O50" s="1">
        <v>24680</v>
      </c>
      <c r="P50" s="1">
        <v>98623</v>
      </c>
      <c r="Q50" s="1">
        <v>1093.72</v>
      </c>
      <c r="R50" s="1">
        <v>11.89</v>
      </c>
      <c r="S50" s="1">
        <v>46.87</v>
      </c>
      <c r="T50" s="1">
        <v>7580</v>
      </c>
      <c r="U50" s="1">
        <v>513.55</v>
      </c>
      <c r="V50" s="1">
        <v>58.18</v>
      </c>
      <c r="W50" s="1">
        <v>19.79</v>
      </c>
      <c r="X50" s="1">
        <v>17.45</v>
      </c>
      <c r="AA50" s="1">
        <f t="shared" si="96"/>
        <v>0.052</v>
      </c>
      <c r="AB50" s="1">
        <f t="shared" si="97"/>
        <v>0.2296</v>
      </c>
      <c r="AC50" s="1">
        <f t="shared" si="98"/>
        <v>0.609</v>
      </c>
      <c r="AD50" s="1">
        <f t="shared" si="99"/>
        <v>0.4547</v>
      </c>
      <c r="AE50" s="1">
        <f t="shared" si="100"/>
        <v>0.2103</v>
      </c>
      <c r="AF50" s="1">
        <f t="shared" si="101"/>
        <v>0.0419</v>
      </c>
      <c r="AG50" s="1">
        <f t="shared" si="102"/>
        <v>0.1897</v>
      </c>
      <c r="AH50" s="1">
        <f t="shared" si="103"/>
        <v>0.0077</v>
      </c>
      <c r="AI50" s="1">
        <f t="shared" si="104"/>
        <v>0.0311</v>
      </c>
      <c r="AJ50" s="1">
        <f t="shared" si="105"/>
        <v>0.0672</v>
      </c>
      <c r="AK50" s="1">
        <f t="shared" si="106"/>
        <v>0.557</v>
      </c>
      <c r="AL50" s="1">
        <f t="shared" si="107"/>
        <v>0.3682</v>
      </c>
      <c r="AM50" s="1">
        <f t="shared" si="108"/>
        <v>0.5998</v>
      </c>
      <c r="AN50" s="1">
        <f t="shared" si="109"/>
        <v>0.2054</v>
      </c>
      <c r="AO50" s="1">
        <f t="shared" si="110"/>
        <v>0.1203</v>
      </c>
      <c r="AP50" s="1">
        <f t="shared" si="111"/>
        <v>0.0107</v>
      </c>
      <c r="AQ50" s="1">
        <f t="shared" si="112"/>
        <v>0.0099</v>
      </c>
      <c r="AR50" s="1">
        <f t="shared" si="113"/>
        <v>0.0854</v>
      </c>
      <c r="AS50" s="1">
        <f t="shared" si="114"/>
        <v>0.087</v>
      </c>
      <c r="AT50" s="1">
        <f t="shared" si="115"/>
        <v>0.3551</v>
      </c>
      <c r="AU50" s="1">
        <f t="shared" si="116"/>
        <v>0.0917</v>
      </c>
      <c r="AV50" s="1">
        <f t="shared" si="117"/>
        <v>0.0388</v>
      </c>
      <c r="AW50" s="4">
        <f t="shared" si="118"/>
        <v>0.0727</v>
      </c>
      <c r="BA50" s="1">
        <f t="shared" si="128"/>
        <v>0.00595654016655403</v>
      </c>
      <c r="BB50" s="1">
        <f t="shared" si="2"/>
        <v>0.00645179419450923</v>
      </c>
      <c r="BC50" s="1">
        <f t="shared" si="3"/>
        <v>0.0125722024269099</v>
      </c>
      <c r="BD50" s="1">
        <f t="shared" ref="BD50:BV50" si="151">AD50/SUM(AD$2:AD$91)</f>
        <v>0.00821701447871564</v>
      </c>
      <c r="BE50" s="1">
        <f t="shared" si="151"/>
        <v>0.0071667365278644</v>
      </c>
      <c r="BF50" s="1">
        <f t="shared" si="151"/>
        <v>0.00510490021686688</v>
      </c>
      <c r="BG50" s="1">
        <f t="shared" si="151"/>
        <v>0.00672058724540949</v>
      </c>
      <c r="BH50" s="1">
        <f t="shared" si="151"/>
        <v>0.00159318036043119</v>
      </c>
      <c r="BI50" s="1">
        <f t="shared" si="151"/>
        <v>0.00360057887120116</v>
      </c>
      <c r="BJ50" s="1">
        <f t="shared" si="151"/>
        <v>0.00783691747912488</v>
      </c>
      <c r="BK50" s="1">
        <f t="shared" si="151"/>
        <v>0.0106611032423535</v>
      </c>
      <c r="BL50" s="1">
        <f t="shared" si="151"/>
        <v>0.0139794295086698</v>
      </c>
      <c r="BM50" s="1">
        <f t="shared" si="151"/>
        <v>0.0157314274473805</v>
      </c>
      <c r="BN50" s="1">
        <f t="shared" si="151"/>
        <v>0.00891767862492348</v>
      </c>
      <c r="BO50" s="1">
        <f t="shared" si="151"/>
        <v>0.0154559703985405</v>
      </c>
      <c r="BP50" s="1">
        <f t="shared" si="151"/>
        <v>0.00173206423206423</v>
      </c>
      <c r="BQ50" s="1">
        <f t="shared" si="151"/>
        <v>0.00292052628473656</v>
      </c>
      <c r="BR50" s="1">
        <f t="shared" si="151"/>
        <v>0.00944920223948306</v>
      </c>
      <c r="BS50" s="1">
        <f t="shared" si="151"/>
        <v>0.00879970060788736</v>
      </c>
      <c r="BT50" s="1">
        <f t="shared" si="151"/>
        <v>0.00977334966353365</v>
      </c>
      <c r="BU50" s="1">
        <f t="shared" si="151"/>
        <v>0.00976810081276564</v>
      </c>
      <c r="BV50" s="1">
        <f t="shared" si="151"/>
        <v>0.00515703709610963</v>
      </c>
      <c r="CA50" s="1">
        <f t="shared" si="120"/>
        <v>-5.12326547543289</v>
      </c>
      <c r="CB50" s="1">
        <f t="shared" ref="CB50:CV50" si="152">IF(BB50=0,0,LN(BB50))</f>
        <v>-5.04339701716512</v>
      </c>
      <c r="CC50" s="1">
        <f t="shared" si="152"/>
        <v>-4.37626705876777</v>
      </c>
      <c r="CD50" s="1">
        <f t="shared" si="152"/>
        <v>-4.80154833799063</v>
      </c>
      <c r="CE50" s="1">
        <f t="shared" si="152"/>
        <v>-4.93830488449004</v>
      </c>
      <c r="CF50" s="1">
        <f t="shared" si="152"/>
        <v>-5.27755437371386</v>
      </c>
      <c r="CG50" s="1">
        <f t="shared" si="152"/>
        <v>-5.00257974055542</v>
      </c>
      <c r="CH50" s="1">
        <f t="shared" si="152"/>
        <v>-6.44202303385353</v>
      </c>
      <c r="CI50" s="1">
        <f t="shared" si="152"/>
        <v>-5.62666064889074</v>
      </c>
      <c r="CJ50" s="1">
        <f t="shared" si="152"/>
        <v>-4.84890970061788</v>
      </c>
      <c r="CK50" s="1">
        <f t="shared" si="152"/>
        <v>-4.54115337194536</v>
      </c>
      <c r="CL50" s="1">
        <f t="shared" si="152"/>
        <v>-4.27016835068654</v>
      </c>
      <c r="CM50" s="1">
        <f t="shared" si="152"/>
        <v>-4.15209481921543</v>
      </c>
      <c r="CN50" s="1">
        <f t="shared" si="152"/>
        <v>-4.71971961010218</v>
      </c>
      <c r="CO50" s="1">
        <f t="shared" si="152"/>
        <v>-4.16975991672211</v>
      </c>
      <c r="CP50" s="1">
        <f t="shared" si="152"/>
        <v>-6.35844138404211</v>
      </c>
      <c r="CQ50" s="1">
        <f t="shared" si="152"/>
        <v>-5.83599144444341</v>
      </c>
      <c r="CR50" s="1">
        <f t="shared" si="152"/>
        <v>-4.6618249601423</v>
      </c>
      <c r="CS50" s="1">
        <f t="shared" si="152"/>
        <v>-4.73303757990771</v>
      </c>
      <c r="CT50" s="1">
        <f t="shared" si="152"/>
        <v>-4.62809601973957</v>
      </c>
      <c r="CU50" s="1">
        <f t="shared" si="152"/>
        <v>-4.62863322150979</v>
      </c>
      <c r="CV50" s="1">
        <f t="shared" si="152"/>
        <v>-5.26739307058847</v>
      </c>
    </row>
    <row r="51" spans="1:100">
      <c r="A51" s="1" t="s">
        <v>34</v>
      </c>
      <c r="B51" s="1">
        <v>2024</v>
      </c>
      <c r="C51" s="1">
        <v>3505.99</v>
      </c>
      <c r="D51" s="1">
        <v>68350</v>
      </c>
      <c r="E51" s="1">
        <v>6.3</v>
      </c>
      <c r="F51" s="1">
        <v>35.59</v>
      </c>
      <c r="G51" s="1">
        <v>45.78</v>
      </c>
      <c r="H51" s="1">
        <v>175.02</v>
      </c>
      <c r="I51" s="1">
        <f t="shared" si="38"/>
        <v>3416</v>
      </c>
      <c r="J51" s="1">
        <v>0.37</v>
      </c>
      <c r="K51" s="1">
        <v>34.67</v>
      </c>
      <c r="L51" s="1">
        <v>1942.37</v>
      </c>
      <c r="M51" s="1">
        <f t="shared" si="0"/>
        <v>37911</v>
      </c>
      <c r="N51" s="1">
        <v>44872</v>
      </c>
      <c r="O51" s="1">
        <v>26092</v>
      </c>
      <c r="P51" s="1">
        <v>108950</v>
      </c>
      <c r="Q51" s="1">
        <v>1216.89</v>
      </c>
      <c r="R51" s="1">
        <v>12.74</v>
      </c>
      <c r="S51" s="1">
        <v>50.77</v>
      </c>
      <c r="T51" s="1">
        <v>8908</v>
      </c>
      <c r="U51" s="1">
        <v>512.35</v>
      </c>
      <c r="V51" s="1">
        <v>59.45</v>
      </c>
      <c r="W51" s="1">
        <v>13.26</v>
      </c>
      <c r="X51" s="1">
        <v>18.48</v>
      </c>
      <c r="AA51" s="1">
        <f t="shared" si="96"/>
        <v>0.0579</v>
      </c>
      <c r="AB51" s="1">
        <f t="shared" si="97"/>
        <v>0.2854</v>
      </c>
      <c r="AC51" s="1">
        <f t="shared" si="98"/>
        <v>0.6053</v>
      </c>
      <c r="AD51" s="1">
        <f t="shared" si="99"/>
        <v>0.5</v>
      </c>
      <c r="AE51" s="1">
        <f t="shared" si="100"/>
        <v>0.1898</v>
      </c>
      <c r="AF51" s="1">
        <f t="shared" si="101"/>
        <v>0.0435</v>
      </c>
      <c r="AG51" s="1">
        <f t="shared" si="102"/>
        <v>0.2017</v>
      </c>
      <c r="AH51" s="1">
        <f t="shared" si="103"/>
        <v>0.003</v>
      </c>
      <c r="AI51" s="1">
        <f t="shared" si="104"/>
        <v>0.035</v>
      </c>
      <c r="AJ51" s="1">
        <f t="shared" si="105"/>
        <v>0.0709</v>
      </c>
      <c r="AK51" s="1">
        <f t="shared" si="106"/>
        <v>0.5905</v>
      </c>
      <c r="AL51" s="1">
        <f t="shared" si="107"/>
        <v>0.4231</v>
      </c>
      <c r="AM51" s="1">
        <f t="shared" si="108"/>
        <v>0.6637</v>
      </c>
      <c r="AN51" s="1">
        <f t="shared" si="109"/>
        <v>0.2474</v>
      </c>
      <c r="AO51" s="1">
        <f t="shared" si="110"/>
        <v>0.1338</v>
      </c>
      <c r="AP51" s="1">
        <f t="shared" si="111"/>
        <v>0.0114</v>
      </c>
      <c r="AQ51" s="1">
        <f t="shared" si="112"/>
        <v>0.0107</v>
      </c>
      <c r="AR51" s="1">
        <f t="shared" si="113"/>
        <v>0.1007</v>
      </c>
      <c r="AS51" s="1">
        <f t="shared" si="114"/>
        <v>0.0868</v>
      </c>
      <c r="AT51" s="1">
        <f t="shared" si="115"/>
        <v>0.3857</v>
      </c>
      <c r="AU51" s="1">
        <f t="shared" si="116"/>
        <v>0.0615</v>
      </c>
      <c r="AV51" s="1">
        <f t="shared" si="117"/>
        <v>0.0412</v>
      </c>
      <c r="AW51" s="4">
        <f t="shared" si="118"/>
        <v>0.0755</v>
      </c>
      <c r="BA51" s="1">
        <f t="shared" si="128"/>
        <v>0.0066323783777592</v>
      </c>
      <c r="BB51" s="1">
        <f t="shared" si="2"/>
        <v>0.00801978250484728</v>
      </c>
      <c r="BC51" s="1">
        <f t="shared" si="3"/>
        <v>0.012495819587863</v>
      </c>
      <c r="BD51" s="1">
        <f t="shared" ref="BD51:BV51" si="153">AD51/SUM(AD$2:AD$91)</f>
        <v>0.00903564380769259</v>
      </c>
      <c r="BE51" s="1">
        <f t="shared" si="153"/>
        <v>0.00646812455058803</v>
      </c>
      <c r="BF51" s="1">
        <f t="shared" si="153"/>
        <v>0.00529983674066132</v>
      </c>
      <c r="BG51" s="1">
        <f t="shared" si="153"/>
        <v>0.00714571664417023</v>
      </c>
      <c r="BH51" s="1">
        <f t="shared" si="153"/>
        <v>0.000620719620947218</v>
      </c>
      <c r="BI51" s="1">
        <f t="shared" si="153"/>
        <v>0.0040520984081042</v>
      </c>
      <c r="BJ51" s="1">
        <f t="shared" si="153"/>
        <v>0.00826841442366003</v>
      </c>
      <c r="BK51" s="1">
        <f t="shared" si="153"/>
        <v>0.0113023006545956</v>
      </c>
      <c r="BL51" s="1">
        <f t="shared" si="153"/>
        <v>0.0160638148427979</v>
      </c>
      <c r="BM51" s="1">
        <f t="shared" si="153"/>
        <v>0.0174073831224182</v>
      </c>
      <c r="BN51" s="1">
        <f t="shared" si="153"/>
        <v>0.0107411572142457</v>
      </c>
      <c r="BO51" s="1">
        <f t="shared" si="153"/>
        <v>0.0171904309170799</v>
      </c>
      <c r="BP51" s="1">
        <f t="shared" si="153"/>
        <v>0.00184537684537685</v>
      </c>
      <c r="BQ51" s="1">
        <f t="shared" si="153"/>
        <v>0.00315652840875568</v>
      </c>
      <c r="BR51" s="1">
        <f t="shared" si="153"/>
        <v>0.0111420921020602</v>
      </c>
      <c r="BS51" s="1">
        <f t="shared" si="153"/>
        <v>0.00877947141108762</v>
      </c>
      <c r="BT51" s="1">
        <f t="shared" si="153"/>
        <v>0.0106155476351026</v>
      </c>
      <c r="BU51" s="1">
        <f t="shared" si="153"/>
        <v>0.00655112540877957</v>
      </c>
      <c r="BV51" s="1">
        <f t="shared" si="153"/>
        <v>0.005476029081436</v>
      </c>
      <c r="CA51" s="1">
        <f t="shared" si="120"/>
        <v>-5.01579180943537</v>
      </c>
      <c r="CB51" s="1">
        <f t="shared" ref="CB51:CV51" si="154">IF(BB51=0,0,LN(BB51))</f>
        <v>-4.82584397656779</v>
      </c>
      <c r="CC51" s="1">
        <f t="shared" si="154"/>
        <v>-4.38236112358002</v>
      </c>
      <c r="CD51" s="1">
        <f t="shared" si="154"/>
        <v>-4.7065781003994</v>
      </c>
      <c r="CE51" s="1">
        <f t="shared" si="154"/>
        <v>-5.04086908102287</v>
      </c>
      <c r="CF51" s="1">
        <f t="shared" si="154"/>
        <v>-5.24007926254731</v>
      </c>
      <c r="CG51" s="1">
        <f t="shared" si="154"/>
        <v>-4.94124217253622</v>
      </c>
      <c r="CH51" s="1">
        <f t="shared" si="154"/>
        <v>-7.38463107404506</v>
      </c>
      <c r="CI51" s="1">
        <f t="shared" si="154"/>
        <v>-5.50852040658651</v>
      </c>
      <c r="CJ51" s="1">
        <f t="shared" si="154"/>
        <v>-4.7953125146089</v>
      </c>
      <c r="CK51" s="1">
        <f t="shared" si="154"/>
        <v>-4.48274897623523</v>
      </c>
      <c r="CL51" s="1">
        <f t="shared" si="154"/>
        <v>-4.1311860617595</v>
      </c>
      <c r="CM51" s="1">
        <f t="shared" si="154"/>
        <v>-4.05086084537846</v>
      </c>
      <c r="CN51" s="1">
        <f t="shared" si="154"/>
        <v>-4.53367244763825</v>
      </c>
      <c r="CO51" s="1">
        <f t="shared" si="154"/>
        <v>-4.06340239200862</v>
      </c>
      <c r="CP51" s="1">
        <f t="shared" si="154"/>
        <v>-6.29507177010952</v>
      </c>
      <c r="CQ51" s="1">
        <f t="shared" si="154"/>
        <v>-5.75828246011609</v>
      </c>
      <c r="CR51" s="1">
        <f t="shared" si="154"/>
        <v>-4.49702526121231</v>
      </c>
      <c r="CS51" s="1">
        <f t="shared" si="154"/>
        <v>-4.73533907689599</v>
      </c>
      <c r="CT51" s="1">
        <f t="shared" si="154"/>
        <v>-4.54543559447443</v>
      </c>
      <c r="CU51" s="1">
        <f t="shared" si="154"/>
        <v>-5.02811842595974</v>
      </c>
      <c r="CV51" s="1">
        <f t="shared" si="154"/>
        <v>-5.20737506086222</v>
      </c>
    </row>
    <row r="52" spans="1:100">
      <c r="A52" s="1" t="s">
        <v>35</v>
      </c>
      <c r="B52" s="1">
        <v>2020</v>
      </c>
      <c r="C52" s="1">
        <v>2169.55</v>
      </c>
      <c r="D52" s="1">
        <v>35520</v>
      </c>
      <c r="E52" s="1">
        <v>-6.6</v>
      </c>
      <c r="F52" s="1">
        <v>34.56</v>
      </c>
      <c r="G52" s="1">
        <v>45.24</v>
      </c>
      <c r="H52" s="3">
        <v>104</v>
      </c>
      <c r="I52" s="1">
        <f t="shared" si="38"/>
        <v>1768</v>
      </c>
      <c r="J52" s="3">
        <v>0.6</v>
      </c>
      <c r="K52" s="3">
        <v>9.5</v>
      </c>
      <c r="L52" s="1">
        <v>1141.64</v>
      </c>
      <c r="M52" s="1">
        <f t="shared" si="0"/>
        <v>19407</v>
      </c>
      <c r="N52" s="1">
        <v>30826</v>
      </c>
      <c r="O52" s="1">
        <v>14693</v>
      </c>
      <c r="P52" s="1">
        <v>68018</v>
      </c>
      <c r="Q52" s="1">
        <v>358.34</v>
      </c>
      <c r="R52" s="1">
        <v>11.59</v>
      </c>
      <c r="S52" s="1">
        <v>50.78</v>
      </c>
      <c r="T52" s="1">
        <v>3492</v>
      </c>
      <c r="U52" s="1">
        <v>588.27</v>
      </c>
      <c r="V52" s="1">
        <v>47.55</v>
      </c>
      <c r="W52" s="1">
        <v>4.54</v>
      </c>
      <c r="X52" s="1">
        <v>3.63</v>
      </c>
      <c r="AA52" s="1">
        <f t="shared" si="96"/>
        <v>0.0357</v>
      </c>
      <c r="AB52" s="1">
        <f t="shared" si="97"/>
        <v>0.0229</v>
      </c>
      <c r="AC52" s="1">
        <f t="shared" si="98"/>
        <v>0.1203</v>
      </c>
      <c r="AD52" s="1">
        <f t="shared" si="99"/>
        <v>0.4604</v>
      </c>
      <c r="AE52" s="1">
        <f t="shared" si="100"/>
        <v>0.1698</v>
      </c>
      <c r="AF52" s="1">
        <f t="shared" si="101"/>
        <v>0.0255</v>
      </c>
      <c r="AG52" s="1">
        <f t="shared" si="102"/>
        <v>0.0498</v>
      </c>
      <c r="AH52" s="1">
        <f t="shared" si="103"/>
        <v>0.0048</v>
      </c>
      <c r="AI52" s="1">
        <f t="shared" si="104"/>
        <v>0.0096</v>
      </c>
      <c r="AJ52" s="1">
        <f t="shared" si="105"/>
        <v>0.0414</v>
      </c>
      <c r="AK52" s="1">
        <f t="shared" si="106"/>
        <v>0.2822</v>
      </c>
      <c r="AL52" s="1">
        <f t="shared" si="107"/>
        <v>0.0071</v>
      </c>
      <c r="AM52" s="1">
        <f t="shared" si="108"/>
        <v>0.1482</v>
      </c>
      <c r="AN52" s="1">
        <f t="shared" si="109"/>
        <v>0.081</v>
      </c>
      <c r="AO52" s="1">
        <f t="shared" si="110"/>
        <v>0.0393</v>
      </c>
      <c r="AP52" s="1">
        <f t="shared" si="111"/>
        <v>0.0104</v>
      </c>
      <c r="AQ52" s="1">
        <f t="shared" si="112"/>
        <v>0.0107</v>
      </c>
      <c r="AR52" s="1">
        <f t="shared" si="113"/>
        <v>0.0385</v>
      </c>
      <c r="AS52" s="1">
        <f t="shared" si="114"/>
        <v>0.0998</v>
      </c>
      <c r="AT52" s="1">
        <f t="shared" si="115"/>
        <v>0.0995</v>
      </c>
      <c r="AU52" s="1">
        <f t="shared" si="116"/>
        <v>0.021</v>
      </c>
      <c r="AV52" s="1">
        <f t="shared" si="117"/>
        <v>0.007</v>
      </c>
      <c r="AW52" s="4">
        <f t="shared" si="118"/>
        <v>0.0322</v>
      </c>
      <c r="BA52" s="1">
        <f t="shared" si="128"/>
        <v>0.00408939392203805</v>
      </c>
      <c r="BB52" s="1">
        <f t="shared" si="2"/>
        <v>0.000643493410515076</v>
      </c>
      <c r="BC52" s="1">
        <f t="shared" si="3"/>
        <v>0.00248347446955215</v>
      </c>
      <c r="BD52" s="1">
        <f t="shared" ref="BD52:BV52" si="155">AD52/SUM(AD$2:AD$91)</f>
        <v>0.00832002081812333</v>
      </c>
      <c r="BE52" s="1">
        <f t="shared" si="155"/>
        <v>0.0057865518898306</v>
      </c>
      <c r="BF52" s="1">
        <f t="shared" si="155"/>
        <v>0.00310680084797388</v>
      </c>
      <c r="BG52" s="1">
        <f t="shared" si="155"/>
        <v>0.0017642870048571</v>
      </c>
      <c r="BH52" s="1">
        <f t="shared" si="155"/>
        <v>0.000993151393515548</v>
      </c>
      <c r="BI52" s="1">
        <f t="shared" si="155"/>
        <v>0.00111143270622287</v>
      </c>
      <c r="BJ52" s="1">
        <f t="shared" si="155"/>
        <v>0.00482810094696086</v>
      </c>
      <c r="BK52" s="1">
        <f t="shared" si="155"/>
        <v>0.00540137043984229</v>
      </c>
      <c r="BL52" s="1">
        <f t="shared" si="155"/>
        <v>0.000269565316435511</v>
      </c>
      <c r="BM52" s="1">
        <f t="shared" si="155"/>
        <v>0.00388695823224707</v>
      </c>
      <c r="BN52" s="1">
        <f t="shared" si="155"/>
        <v>0.00351670870797859</v>
      </c>
      <c r="BO52" s="1">
        <f t="shared" si="155"/>
        <v>0.00504920728730375</v>
      </c>
      <c r="BP52" s="1">
        <f t="shared" si="155"/>
        <v>0.00168350168350168</v>
      </c>
      <c r="BQ52" s="1">
        <f t="shared" si="155"/>
        <v>0.00315652840875568</v>
      </c>
      <c r="BR52" s="1">
        <f t="shared" si="155"/>
        <v>0.00425988625550466</v>
      </c>
      <c r="BS52" s="1">
        <f t="shared" si="155"/>
        <v>0.0100943692030708</v>
      </c>
      <c r="BT52" s="1">
        <f t="shared" si="155"/>
        <v>0.00273851954807547</v>
      </c>
      <c r="BU52" s="1">
        <f t="shared" si="155"/>
        <v>0.00223696965177839</v>
      </c>
      <c r="BV52" s="1">
        <f t="shared" si="155"/>
        <v>0.000930393290535242</v>
      </c>
      <c r="CA52" s="1">
        <f t="shared" si="120"/>
        <v>-5.49935850522872</v>
      </c>
      <c r="CB52" s="1">
        <f t="shared" ref="CB52:CV52" si="156">IF(BB52=0,0,LN(BB52))</f>
        <v>-7.34859877105033</v>
      </c>
      <c r="CC52" s="1">
        <f t="shared" si="156"/>
        <v>-5.99809670349703</v>
      </c>
      <c r="CD52" s="1">
        <f t="shared" si="156"/>
        <v>-4.78909052197386</v>
      </c>
      <c r="CE52" s="1">
        <f t="shared" si="156"/>
        <v>-5.15221869332145</v>
      </c>
      <c r="CF52" s="1">
        <f t="shared" si="156"/>
        <v>-5.77416174847757</v>
      </c>
      <c r="CG52" s="1">
        <f t="shared" si="156"/>
        <v>-6.34000863346578</v>
      </c>
      <c r="CH52" s="1">
        <f t="shared" si="156"/>
        <v>-6.91462744479933</v>
      </c>
      <c r="CI52" s="1">
        <f t="shared" si="156"/>
        <v>-6.80210536960213</v>
      </c>
      <c r="CJ52" s="1">
        <f t="shared" si="156"/>
        <v>-5.33330206731571</v>
      </c>
      <c r="CK52" s="1">
        <f t="shared" si="156"/>
        <v>-5.22110257245394</v>
      </c>
      <c r="CL52" s="1">
        <f t="shared" si="156"/>
        <v>-8.21869983543825</v>
      </c>
      <c r="CM52" s="1">
        <f t="shared" si="156"/>
        <v>-5.55012837266835</v>
      </c>
      <c r="CN52" s="1">
        <f t="shared" si="156"/>
        <v>-5.6502297529242</v>
      </c>
      <c r="CO52" s="1">
        <f t="shared" si="156"/>
        <v>-5.28852402082753</v>
      </c>
      <c r="CP52" s="1">
        <f t="shared" si="156"/>
        <v>-6.38687931936265</v>
      </c>
      <c r="CQ52" s="1">
        <f t="shared" si="156"/>
        <v>-5.75828246011609</v>
      </c>
      <c r="CR52" s="1">
        <f t="shared" si="156"/>
        <v>-5.45851281964309</v>
      </c>
      <c r="CS52" s="1">
        <f t="shared" si="156"/>
        <v>-4.59577751524488</v>
      </c>
      <c r="CT52" s="1">
        <f t="shared" si="156"/>
        <v>-5.90033781552407</v>
      </c>
      <c r="CU52" s="1">
        <f t="shared" si="156"/>
        <v>-6.10263316304878</v>
      </c>
      <c r="CV52" s="1">
        <f t="shared" si="156"/>
        <v>-6.97990316816239</v>
      </c>
    </row>
    <row r="53" spans="1:100">
      <c r="A53" s="1" t="s">
        <v>35</v>
      </c>
      <c r="B53" s="1">
        <v>2021</v>
      </c>
      <c r="C53" s="1">
        <v>2541.31</v>
      </c>
      <c r="D53" s="1">
        <v>43550</v>
      </c>
      <c r="E53" s="1">
        <v>13.8</v>
      </c>
      <c r="F53" s="1">
        <v>31.77</v>
      </c>
      <c r="G53" s="1">
        <v>48.42</v>
      </c>
      <c r="H53" s="1">
        <v>141.01</v>
      </c>
      <c r="I53" s="1">
        <f t="shared" si="38"/>
        <v>2436</v>
      </c>
      <c r="J53" s="1">
        <v>0.71</v>
      </c>
      <c r="K53" s="1">
        <v>14.65</v>
      </c>
      <c r="L53" s="1">
        <v>1414.92</v>
      </c>
      <c r="M53" s="1">
        <f t="shared" si="0"/>
        <v>24445</v>
      </c>
      <c r="N53" s="1">
        <v>34032</v>
      </c>
      <c r="O53" s="1">
        <v>16456</v>
      </c>
      <c r="P53" s="1">
        <v>75566</v>
      </c>
      <c r="Q53" s="1">
        <v>407.05</v>
      </c>
      <c r="R53" s="3">
        <v>14</v>
      </c>
      <c r="S53" s="1">
        <v>51.12</v>
      </c>
      <c r="T53" s="1">
        <v>4182</v>
      </c>
      <c r="U53" s="1">
        <v>578.82</v>
      </c>
      <c r="V53" s="1">
        <v>48.65</v>
      </c>
      <c r="W53" s="1">
        <v>4.97</v>
      </c>
      <c r="X53" s="1">
        <v>5.08</v>
      </c>
      <c r="AA53" s="1">
        <f t="shared" si="96"/>
        <v>0.0419</v>
      </c>
      <c r="AB53" s="1">
        <f t="shared" si="97"/>
        <v>0.0871</v>
      </c>
      <c r="AC53" s="1">
        <f t="shared" si="98"/>
        <v>0.8872</v>
      </c>
      <c r="AD53" s="1">
        <f t="shared" si="99"/>
        <v>0.3533</v>
      </c>
      <c r="AE53" s="1">
        <f t="shared" si="100"/>
        <v>0.2879</v>
      </c>
      <c r="AF53" s="1">
        <f t="shared" si="101"/>
        <v>0.0349</v>
      </c>
      <c r="AG53" s="1">
        <f t="shared" si="102"/>
        <v>0.1114</v>
      </c>
      <c r="AH53" s="1">
        <f t="shared" si="103"/>
        <v>0.0057</v>
      </c>
      <c r="AI53" s="1">
        <f t="shared" si="104"/>
        <v>0.0148</v>
      </c>
      <c r="AJ53" s="1">
        <f t="shared" si="105"/>
        <v>0.0515</v>
      </c>
      <c r="AK53" s="1">
        <f t="shared" si="106"/>
        <v>0.3662</v>
      </c>
      <c r="AL53" s="1">
        <f t="shared" si="107"/>
        <v>0.102</v>
      </c>
      <c r="AM53" s="1">
        <f t="shared" si="108"/>
        <v>0.2279</v>
      </c>
      <c r="AN53" s="1">
        <f t="shared" si="109"/>
        <v>0.1117</v>
      </c>
      <c r="AO53" s="1">
        <f t="shared" si="110"/>
        <v>0.0447</v>
      </c>
      <c r="AP53" s="1">
        <f t="shared" si="111"/>
        <v>0.0126</v>
      </c>
      <c r="AQ53" s="1">
        <f t="shared" si="112"/>
        <v>0.0108</v>
      </c>
      <c r="AR53" s="1">
        <f t="shared" si="113"/>
        <v>0.0464</v>
      </c>
      <c r="AS53" s="1">
        <f t="shared" si="114"/>
        <v>0.0982</v>
      </c>
      <c r="AT53" s="1">
        <f t="shared" si="115"/>
        <v>0.126</v>
      </c>
      <c r="AU53" s="1">
        <f t="shared" si="116"/>
        <v>0.023</v>
      </c>
      <c r="AV53" s="1">
        <f t="shared" si="117"/>
        <v>0.0103</v>
      </c>
      <c r="AW53" s="4">
        <f t="shared" si="118"/>
        <v>0.0451</v>
      </c>
      <c r="BA53" s="1">
        <f t="shared" si="128"/>
        <v>0.00479959678805026</v>
      </c>
      <c r="BB53" s="1">
        <f t="shared" si="2"/>
        <v>0.00244752297187175</v>
      </c>
      <c r="BC53" s="1">
        <f t="shared" si="3"/>
        <v>0.0183153661628152</v>
      </c>
      <c r="BD53" s="1">
        <f t="shared" ref="BD53:BV53" si="157">AD53/SUM(AD$2:AD$91)</f>
        <v>0.00638458591451558</v>
      </c>
      <c r="BE53" s="1">
        <f t="shared" si="157"/>
        <v>0.00981123845160323</v>
      </c>
      <c r="BF53" s="1">
        <f t="shared" si="157"/>
        <v>0.00425205292526621</v>
      </c>
      <c r="BG53" s="1">
        <f t="shared" si="157"/>
        <v>0.00394661791849561</v>
      </c>
      <c r="BH53" s="1">
        <f t="shared" si="157"/>
        <v>0.00117936727979971</v>
      </c>
      <c r="BI53" s="1">
        <f t="shared" si="157"/>
        <v>0.00171345875542692</v>
      </c>
      <c r="BJ53" s="1">
        <f t="shared" si="157"/>
        <v>0.006005970984746</v>
      </c>
      <c r="BK53" s="1">
        <f t="shared" si="157"/>
        <v>0.00700914902576274</v>
      </c>
      <c r="BL53" s="1">
        <f t="shared" si="157"/>
        <v>0.00387262848963692</v>
      </c>
      <c r="BM53" s="1">
        <f t="shared" si="157"/>
        <v>0.00597731296308439</v>
      </c>
      <c r="BN53" s="1">
        <f t="shared" si="157"/>
        <v>0.00484958472445936</v>
      </c>
      <c r="BO53" s="1">
        <f t="shared" si="157"/>
        <v>0.00574299149471953</v>
      </c>
      <c r="BP53" s="1">
        <f t="shared" si="157"/>
        <v>0.00203962703962704</v>
      </c>
      <c r="BQ53" s="1">
        <f t="shared" si="157"/>
        <v>0.00318602867425807</v>
      </c>
      <c r="BR53" s="1">
        <f t="shared" si="157"/>
        <v>0.00513399278585496</v>
      </c>
      <c r="BS53" s="1">
        <f t="shared" si="157"/>
        <v>0.00993253562867286</v>
      </c>
      <c r="BT53" s="1">
        <f t="shared" si="157"/>
        <v>0.00346787400057798</v>
      </c>
      <c r="BU53" s="1">
        <f t="shared" si="157"/>
        <v>0.00245001438051919</v>
      </c>
      <c r="BV53" s="1">
        <f t="shared" si="157"/>
        <v>0.001369007270359</v>
      </c>
      <c r="CA53" s="1">
        <f t="shared" si="120"/>
        <v>-5.33922336708623</v>
      </c>
      <c r="CB53" s="1">
        <f t="shared" ref="CB53:CV53" si="158">IF(BB53=0,0,LN(BB53))</f>
        <v>-6.01267879775207</v>
      </c>
      <c r="CC53" s="1">
        <f t="shared" si="158"/>
        <v>-4.00001489044151</v>
      </c>
      <c r="CD53" s="1">
        <f t="shared" si="158"/>
        <v>-5.05386864445649</v>
      </c>
      <c r="CE53" s="1">
        <f t="shared" si="158"/>
        <v>-4.62422676958056</v>
      </c>
      <c r="CF53" s="1">
        <f t="shared" si="158"/>
        <v>-5.46035337143357</v>
      </c>
      <c r="CG53" s="1">
        <f t="shared" si="158"/>
        <v>-5.5348962900032</v>
      </c>
      <c r="CH53" s="1">
        <f t="shared" si="158"/>
        <v>-6.74277718787267</v>
      </c>
      <c r="CI53" s="1">
        <f t="shared" si="158"/>
        <v>-6.36924128730586</v>
      </c>
      <c r="CJ53" s="1">
        <f t="shared" si="158"/>
        <v>-5.11500114047729</v>
      </c>
      <c r="CK53" s="1">
        <f t="shared" si="158"/>
        <v>-4.96053897963224</v>
      </c>
      <c r="CL53" s="1">
        <f t="shared" si="158"/>
        <v>-5.55382180620125</v>
      </c>
      <c r="CM53" s="1">
        <f t="shared" si="158"/>
        <v>-5.1197841492787</v>
      </c>
      <c r="CN53" s="1">
        <f t="shared" si="158"/>
        <v>-5.32886220152149</v>
      </c>
      <c r="CO53" s="1">
        <f t="shared" si="158"/>
        <v>-5.15977503808322</v>
      </c>
      <c r="CP53" s="1">
        <f t="shared" si="158"/>
        <v>-6.19498831155254</v>
      </c>
      <c r="CQ53" s="1">
        <f t="shared" si="158"/>
        <v>-5.74898006745378</v>
      </c>
      <c r="CR53" s="1">
        <f t="shared" si="158"/>
        <v>-5.27187160170461</v>
      </c>
      <c r="CS53" s="1">
        <f t="shared" si="158"/>
        <v>-4.61193948320188</v>
      </c>
      <c r="CT53" s="1">
        <f t="shared" si="158"/>
        <v>-5.66421355273714</v>
      </c>
      <c r="CU53" s="1">
        <f t="shared" si="158"/>
        <v>-6.01166138484306</v>
      </c>
      <c r="CV53" s="1">
        <f t="shared" si="158"/>
        <v>-6.59366942198211</v>
      </c>
    </row>
    <row r="54" spans="1:100">
      <c r="A54" s="1" t="s">
        <v>35</v>
      </c>
      <c r="B54" s="1">
        <v>2022</v>
      </c>
      <c r="C54" s="3">
        <v>2747.9</v>
      </c>
      <c r="D54" s="1">
        <v>47466</v>
      </c>
      <c r="E54" s="1">
        <v>4.9</v>
      </c>
      <c r="F54" s="1">
        <v>34.43</v>
      </c>
      <c r="G54" s="1">
        <v>45.72</v>
      </c>
      <c r="H54" s="1">
        <v>140.85</v>
      </c>
      <c r="I54" s="1">
        <f t="shared" si="38"/>
        <v>2433</v>
      </c>
      <c r="J54" s="1">
        <v>0.33</v>
      </c>
      <c r="K54" s="3">
        <v>19.7</v>
      </c>
      <c r="L54" s="1">
        <v>1483.91</v>
      </c>
      <c r="M54" s="1">
        <f t="shared" si="0"/>
        <v>25628</v>
      </c>
      <c r="N54" s="1">
        <v>36312</v>
      </c>
      <c r="O54" s="1">
        <v>17855</v>
      </c>
      <c r="P54" s="1">
        <v>85436</v>
      </c>
      <c r="Q54" s="1">
        <v>407.13</v>
      </c>
      <c r="R54" s="1">
        <v>9.46</v>
      </c>
      <c r="S54" s="1">
        <v>54.55</v>
      </c>
      <c r="T54" s="1">
        <v>4150</v>
      </c>
      <c r="U54" s="1">
        <v>579.02</v>
      </c>
      <c r="V54" s="1">
        <v>49.43</v>
      </c>
      <c r="W54" s="1">
        <v>5.44</v>
      </c>
      <c r="X54" s="1">
        <v>7.11</v>
      </c>
      <c r="AA54" s="1">
        <f t="shared" si="96"/>
        <v>0.0453</v>
      </c>
      <c r="AB54" s="1">
        <f t="shared" si="97"/>
        <v>0.1184</v>
      </c>
      <c r="AC54" s="1">
        <f t="shared" si="98"/>
        <v>0.5526</v>
      </c>
      <c r="AD54" s="1">
        <f t="shared" si="99"/>
        <v>0.4555</v>
      </c>
      <c r="AE54" s="1">
        <f t="shared" si="100"/>
        <v>0.1876</v>
      </c>
      <c r="AF54" s="1">
        <f t="shared" si="101"/>
        <v>0.0348</v>
      </c>
      <c r="AG54" s="1">
        <f t="shared" si="102"/>
        <v>0.1111</v>
      </c>
      <c r="AH54" s="1">
        <f t="shared" si="103"/>
        <v>0.0026</v>
      </c>
      <c r="AI54" s="1">
        <f t="shared" si="104"/>
        <v>0.0199</v>
      </c>
      <c r="AJ54" s="1">
        <f t="shared" si="105"/>
        <v>0.054</v>
      </c>
      <c r="AK54" s="1">
        <f t="shared" si="106"/>
        <v>0.3859</v>
      </c>
      <c r="AL54" s="1">
        <f t="shared" si="107"/>
        <v>0.1696</v>
      </c>
      <c r="AM54" s="1">
        <f t="shared" si="108"/>
        <v>0.2912</v>
      </c>
      <c r="AN54" s="1">
        <f t="shared" si="109"/>
        <v>0.1518</v>
      </c>
      <c r="AO54" s="1">
        <f t="shared" si="110"/>
        <v>0.0447</v>
      </c>
      <c r="AP54" s="1">
        <f t="shared" si="111"/>
        <v>0.0085</v>
      </c>
      <c r="AQ54" s="1">
        <f t="shared" si="112"/>
        <v>0.0115</v>
      </c>
      <c r="AR54" s="1">
        <f t="shared" si="113"/>
        <v>0.0461</v>
      </c>
      <c r="AS54" s="1">
        <f t="shared" si="114"/>
        <v>0.0982</v>
      </c>
      <c r="AT54" s="1">
        <f t="shared" si="115"/>
        <v>0.1447</v>
      </c>
      <c r="AU54" s="1">
        <f t="shared" si="116"/>
        <v>0.0252</v>
      </c>
      <c r="AV54" s="1">
        <f t="shared" si="117"/>
        <v>0.015</v>
      </c>
      <c r="AW54" s="4">
        <f t="shared" si="118"/>
        <v>0.045</v>
      </c>
      <c r="BA54" s="1">
        <f t="shared" si="128"/>
        <v>0.00518906287586341</v>
      </c>
      <c r="BB54" s="1">
        <f t="shared" si="2"/>
        <v>0.00332705763340546</v>
      </c>
      <c r="BC54" s="1">
        <f t="shared" si="3"/>
        <v>0.0114078802317084</v>
      </c>
      <c r="BD54" s="1">
        <f t="shared" ref="BD54:BV54" si="159">AD54/SUM(AD$2:AD$91)</f>
        <v>0.00823147150880795</v>
      </c>
      <c r="BE54" s="1">
        <f t="shared" si="159"/>
        <v>0.00639315155790471</v>
      </c>
      <c r="BF54" s="1">
        <f t="shared" si="159"/>
        <v>0.00423986939252906</v>
      </c>
      <c r="BG54" s="1">
        <f t="shared" si="159"/>
        <v>0.00393598968352659</v>
      </c>
      <c r="BH54" s="1">
        <f t="shared" si="159"/>
        <v>0.000537957004820922</v>
      </c>
      <c r="BI54" s="1">
        <f t="shared" si="159"/>
        <v>0.00230390738060782</v>
      </c>
      <c r="BJ54" s="1">
        <f t="shared" si="159"/>
        <v>0.00629752297429678</v>
      </c>
      <c r="BK54" s="1">
        <f t="shared" si="159"/>
        <v>0.00738621138460361</v>
      </c>
      <c r="BL54" s="1">
        <f t="shared" si="159"/>
        <v>0.00643919403767081</v>
      </c>
      <c r="BM54" s="1">
        <f t="shared" si="159"/>
        <v>0.00763753196511704</v>
      </c>
      <c r="BN54" s="1">
        <f t="shared" si="159"/>
        <v>0.0065905726156932</v>
      </c>
      <c r="BO54" s="1">
        <f t="shared" si="159"/>
        <v>0.00574299149471953</v>
      </c>
      <c r="BP54" s="1">
        <f t="shared" si="159"/>
        <v>0.00137593887593888</v>
      </c>
      <c r="BQ54" s="1">
        <f t="shared" si="159"/>
        <v>0.00339253053277479</v>
      </c>
      <c r="BR54" s="1">
        <f t="shared" si="159"/>
        <v>0.0051007988669809</v>
      </c>
      <c r="BS54" s="1">
        <f t="shared" si="159"/>
        <v>0.00993253562867286</v>
      </c>
      <c r="BT54" s="1">
        <f t="shared" si="159"/>
        <v>0.00398255053875899</v>
      </c>
      <c r="BU54" s="1">
        <f t="shared" si="159"/>
        <v>0.00268436358213407</v>
      </c>
      <c r="BV54" s="1">
        <f t="shared" si="159"/>
        <v>0.0019936999082898</v>
      </c>
      <c r="CA54" s="1">
        <f t="shared" si="120"/>
        <v>-5.26120216152533</v>
      </c>
      <c r="CB54" s="1">
        <f t="shared" ref="CB54:CV54" si="160">IF(BB54=0,0,LN(BB54))</f>
        <v>-5.70566695916062</v>
      </c>
      <c r="CC54" s="1">
        <f t="shared" si="160"/>
        <v>-4.47345091398835</v>
      </c>
      <c r="CD54" s="1">
        <f t="shared" si="160"/>
        <v>-4.79979048212158</v>
      </c>
      <c r="CE54" s="1">
        <f t="shared" si="160"/>
        <v>-5.05252793062657</v>
      </c>
      <c r="CF54" s="1">
        <f t="shared" si="160"/>
        <v>-5.46322281386152</v>
      </c>
      <c r="CG54" s="1">
        <f t="shared" si="160"/>
        <v>-5.5375929208508</v>
      </c>
      <c r="CH54" s="1">
        <f t="shared" si="160"/>
        <v>-7.52773191768574</v>
      </c>
      <c r="CI54" s="1">
        <f t="shared" si="160"/>
        <v>-6.07314873634548</v>
      </c>
      <c r="CJ54" s="1">
        <f t="shared" si="160"/>
        <v>-5.06759890158271</v>
      </c>
      <c r="CK54" s="1">
        <f t="shared" si="160"/>
        <v>-4.90814034332908</v>
      </c>
      <c r="CL54" s="1">
        <f t="shared" si="160"/>
        <v>-5.04535189612772</v>
      </c>
      <c r="CM54" s="1">
        <f t="shared" si="160"/>
        <v>-4.87468076920781</v>
      </c>
      <c r="CN54" s="1">
        <f t="shared" si="160"/>
        <v>-5.02211504263511</v>
      </c>
      <c r="CO54" s="1">
        <f t="shared" si="160"/>
        <v>-5.15977503808322</v>
      </c>
      <c r="CP54" s="1">
        <f t="shared" si="160"/>
        <v>-6.5886189620137</v>
      </c>
      <c r="CQ54" s="1">
        <f t="shared" si="160"/>
        <v>-5.68617916621475</v>
      </c>
      <c r="CR54" s="1">
        <f t="shared" si="160"/>
        <v>-5.27835811093422</v>
      </c>
      <c r="CS54" s="1">
        <f t="shared" si="160"/>
        <v>-4.61193948320188</v>
      </c>
      <c r="CT54" s="1">
        <f t="shared" si="160"/>
        <v>-5.52583282605118</v>
      </c>
      <c r="CU54" s="1">
        <f t="shared" si="160"/>
        <v>-5.92031160625483</v>
      </c>
      <c r="CV54" s="1">
        <f t="shared" si="160"/>
        <v>-6.21776311611549</v>
      </c>
    </row>
    <row r="55" spans="1:100">
      <c r="A55" s="1" t="s">
        <v>35</v>
      </c>
      <c r="B55" s="1">
        <v>2023</v>
      </c>
      <c r="C55" s="1">
        <v>2884.68</v>
      </c>
      <c r="D55" s="1">
        <v>49812</v>
      </c>
      <c r="E55" s="2">
        <v>6</v>
      </c>
      <c r="F55" s="1">
        <v>32.05</v>
      </c>
      <c r="G55" s="1">
        <v>48.13</v>
      </c>
      <c r="H55" s="1">
        <v>177.76</v>
      </c>
      <c r="I55" s="1">
        <f t="shared" si="38"/>
        <v>3069</v>
      </c>
      <c r="J55" s="1">
        <v>0.43</v>
      </c>
      <c r="K55" s="1">
        <v>21.83</v>
      </c>
      <c r="L55" s="1">
        <v>1635.44</v>
      </c>
      <c r="M55" s="1">
        <f t="shared" si="0"/>
        <v>28235</v>
      </c>
      <c r="N55" s="1">
        <v>38473</v>
      </c>
      <c r="O55" s="1">
        <v>19346</v>
      </c>
      <c r="P55" s="1">
        <v>94750</v>
      </c>
      <c r="Q55" s="1">
        <v>549.28</v>
      </c>
      <c r="R55" s="1">
        <v>9.31</v>
      </c>
      <c r="S55" s="1">
        <v>62.29</v>
      </c>
      <c r="T55" s="1">
        <v>5609</v>
      </c>
      <c r="U55" s="1">
        <v>579.22</v>
      </c>
      <c r="V55" s="3">
        <v>50.5</v>
      </c>
      <c r="W55" s="1">
        <v>5.85</v>
      </c>
      <c r="X55" s="1">
        <v>11.27</v>
      </c>
      <c r="AA55" s="1">
        <f t="shared" si="96"/>
        <v>0.0476</v>
      </c>
      <c r="AB55" s="1">
        <f t="shared" si="97"/>
        <v>0.1372</v>
      </c>
      <c r="AC55" s="1">
        <f t="shared" si="98"/>
        <v>0.594</v>
      </c>
      <c r="AD55" s="1">
        <f t="shared" si="99"/>
        <v>0.3641</v>
      </c>
      <c r="AE55" s="1">
        <f t="shared" si="100"/>
        <v>0.2771</v>
      </c>
      <c r="AF55" s="1">
        <f t="shared" si="101"/>
        <v>0.0442</v>
      </c>
      <c r="AG55" s="1">
        <f t="shared" si="102"/>
        <v>0.1697</v>
      </c>
      <c r="AH55" s="1">
        <f t="shared" si="103"/>
        <v>0.0035</v>
      </c>
      <c r="AI55" s="1">
        <f t="shared" si="104"/>
        <v>0.022</v>
      </c>
      <c r="AJ55" s="1">
        <f t="shared" si="105"/>
        <v>0.0596</v>
      </c>
      <c r="AK55" s="1">
        <f t="shared" si="106"/>
        <v>0.4293</v>
      </c>
      <c r="AL55" s="1">
        <f t="shared" si="107"/>
        <v>0.2336</v>
      </c>
      <c r="AM55" s="1">
        <f t="shared" si="108"/>
        <v>0.3586</v>
      </c>
      <c r="AN55" s="1">
        <f t="shared" si="109"/>
        <v>0.1897</v>
      </c>
      <c r="AO55" s="1">
        <f t="shared" si="110"/>
        <v>0.0603</v>
      </c>
      <c r="AP55" s="1">
        <f t="shared" si="111"/>
        <v>0.0083</v>
      </c>
      <c r="AQ55" s="1">
        <f t="shared" si="112"/>
        <v>0.0132</v>
      </c>
      <c r="AR55" s="1">
        <f t="shared" si="113"/>
        <v>0.0628</v>
      </c>
      <c r="AS55" s="1">
        <f t="shared" si="114"/>
        <v>0.0982</v>
      </c>
      <c r="AT55" s="1">
        <f t="shared" si="115"/>
        <v>0.1705</v>
      </c>
      <c r="AU55" s="1">
        <f t="shared" si="116"/>
        <v>0.0271</v>
      </c>
      <c r="AV55" s="1">
        <f t="shared" si="117"/>
        <v>0.0246</v>
      </c>
      <c r="AW55" s="4">
        <f t="shared" si="118"/>
        <v>0.0535</v>
      </c>
      <c r="BA55" s="1">
        <f t="shared" si="128"/>
        <v>0.00545252522938407</v>
      </c>
      <c r="BB55" s="1">
        <f t="shared" si="2"/>
        <v>0.0038553404333043</v>
      </c>
      <c r="BC55" s="1">
        <f t="shared" si="3"/>
        <v>0.0122625422686116</v>
      </c>
      <c r="BD55" s="1">
        <f t="shared" ref="BD55:BV55" si="161">AD55/SUM(AD$2:AD$91)</f>
        <v>0.00657975582076174</v>
      </c>
      <c r="BE55" s="1">
        <f t="shared" si="161"/>
        <v>0.00944318921479422</v>
      </c>
      <c r="BF55" s="1">
        <f t="shared" si="161"/>
        <v>0.00538512146982139</v>
      </c>
      <c r="BG55" s="1">
        <f t="shared" si="161"/>
        <v>0.00601203824747491</v>
      </c>
      <c r="BH55" s="1">
        <f t="shared" si="161"/>
        <v>0.000724172891105087</v>
      </c>
      <c r="BI55" s="1">
        <f t="shared" si="161"/>
        <v>0.00254703328509407</v>
      </c>
      <c r="BJ55" s="1">
        <f t="shared" si="161"/>
        <v>0.00695059943089052</v>
      </c>
      <c r="BK55" s="1">
        <f t="shared" si="161"/>
        <v>0.00821689698732918</v>
      </c>
      <c r="BL55" s="1">
        <f t="shared" si="161"/>
        <v>0.00886907858018809</v>
      </c>
      <c r="BM55" s="1">
        <f t="shared" si="161"/>
        <v>0.00940528489935086</v>
      </c>
      <c r="BN55" s="1">
        <f t="shared" si="161"/>
        <v>0.00823604496177207</v>
      </c>
      <c r="BO55" s="1">
        <f t="shared" si="161"/>
        <v>0.00774725698280957</v>
      </c>
      <c r="BP55" s="1">
        <f t="shared" si="161"/>
        <v>0.00134356384356384</v>
      </c>
      <c r="BQ55" s="1">
        <f t="shared" si="161"/>
        <v>0.00389403504631542</v>
      </c>
      <c r="BR55" s="1">
        <f t="shared" si="161"/>
        <v>0.0069485936843037</v>
      </c>
      <c r="BS55" s="1">
        <f t="shared" si="161"/>
        <v>0.00993253562867286</v>
      </c>
      <c r="BT55" s="1">
        <f t="shared" si="161"/>
        <v>0.00469263902459163</v>
      </c>
      <c r="BU55" s="1">
        <f t="shared" si="161"/>
        <v>0.00288675607443783</v>
      </c>
      <c r="BV55" s="1">
        <f t="shared" si="161"/>
        <v>0.00326966784959528</v>
      </c>
      <c r="CA55" s="1">
        <f t="shared" si="120"/>
        <v>-5.21167643277694</v>
      </c>
      <c r="CB55" s="1">
        <f t="shared" ref="CB55:CV55" si="162">IF(BB55=0,0,LN(BB55))</f>
        <v>-5.55829596631874</v>
      </c>
      <c r="CC55" s="1">
        <f t="shared" si="162"/>
        <v>-4.40120600711502</v>
      </c>
      <c r="CD55" s="1">
        <f t="shared" si="162"/>
        <v>-5.0237576436402</v>
      </c>
      <c r="CE55" s="1">
        <f t="shared" si="162"/>
        <v>-4.66246151532976</v>
      </c>
      <c r="CF55" s="1">
        <f t="shared" si="162"/>
        <v>-5.2241154115583</v>
      </c>
      <c r="CG55" s="1">
        <f t="shared" si="162"/>
        <v>-5.11399144525621</v>
      </c>
      <c r="CH55" s="1">
        <f t="shared" si="162"/>
        <v>-7.2304803942178</v>
      </c>
      <c r="CI55" s="1">
        <f t="shared" si="162"/>
        <v>-5.97282601471761</v>
      </c>
      <c r="CJ55" s="1">
        <f t="shared" si="162"/>
        <v>-4.96892737407568</v>
      </c>
      <c r="CK55" s="1">
        <f t="shared" si="162"/>
        <v>-4.80156263664213</v>
      </c>
      <c r="CL55" s="1">
        <f t="shared" si="162"/>
        <v>-4.72518436853145</v>
      </c>
      <c r="CM55" s="1">
        <f t="shared" si="162"/>
        <v>-4.66648352435931</v>
      </c>
      <c r="CN55" s="1">
        <f t="shared" si="162"/>
        <v>-4.79923503065567</v>
      </c>
      <c r="CO55" s="1">
        <f t="shared" si="162"/>
        <v>-4.8604164359696</v>
      </c>
      <c r="CP55" s="1">
        <f t="shared" si="162"/>
        <v>-6.61242961070742</v>
      </c>
      <c r="CQ55" s="1">
        <f t="shared" si="162"/>
        <v>-5.54830937199163</v>
      </c>
      <c r="CR55" s="1">
        <f t="shared" si="162"/>
        <v>-4.96921598746267</v>
      </c>
      <c r="CS55" s="1">
        <f t="shared" si="162"/>
        <v>-4.61193948320188</v>
      </c>
      <c r="CT55" s="1">
        <f t="shared" si="162"/>
        <v>-5.36176016296504</v>
      </c>
      <c r="CU55" s="1">
        <f t="shared" si="162"/>
        <v>-5.84762187288655</v>
      </c>
      <c r="CV55" s="1">
        <f t="shared" si="162"/>
        <v>-5.72306687427939</v>
      </c>
    </row>
    <row r="56" spans="1:100">
      <c r="A56" s="1" t="s">
        <v>35</v>
      </c>
      <c r="B56" s="1">
        <v>2024</v>
      </c>
      <c r="C56" s="1">
        <v>3216.65</v>
      </c>
      <c r="D56" s="1">
        <v>55532</v>
      </c>
      <c r="E56" s="1">
        <v>6.2</v>
      </c>
      <c r="F56" s="1">
        <v>33.04</v>
      </c>
      <c r="G56" s="1">
        <v>48.11</v>
      </c>
      <c r="H56" s="1">
        <v>188.03</v>
      </c>
      <c r="I56" s="1">
        <f t="shared" si="38"/>
        <v>3246</v>
      </c>
      <c r="J56" s="1">
        <v>0.44</v>
      </c>
      <c r="K56" s="1">
        <v>25.09</v>
      </c>
      <c r="L56" s="1">
        <v>1727.96</v>
      </c>
      <c r="M56" s="1">
        <f t="shared" si="0"/>
        <v>29832</v>
      </c>
      <c r="N56" s="1">
        <v>40324</v>
      </c>
      <c r="O56" s="1">
        <v>20553</v>
      </c>
      <c r="P56" s="1">
        <v>104912</v>
      </c>
      <c r="Q56" s="1">
        <v>586.91</v>
      </c>
      <c r="R56" s="1">
        <v>9.84</v>
      </c>
      <c r="S56" s="3">
        <v>67</v>
      </c>
      <c r="T56" s="1">
        <v>6434</v>
      </c>
      <c r="U56" s="1">
        <v>579.24</v>
      </c>
      <c r="V56" s="3">
        <v>51.5</v>
      </c>
      <c r="W56" s="1">
        <v>6.32</v>
      </c>
      <c r="X56" s="3">
        <v>12.8</v>
      </c>
      <c r="Y56" s="3"/>
      <c r="Z56" s="3"/>
      <c r="AA56" s="1">
        <f t="shared" si="96"/>
        <v>0.0531</v>
      </c>
      <c r="AB56" s="1">
        <f t="shared" si="97"/>
        <v>0.1829</v>
      </c>
      <c r="AC56" s="1">
        <f t="shared" si="98"/>
        <v>0.6015</v>
      </c>
      <c r="AD56" s="1">
        <f t="shared" si="99"/>
        <v>0.4021</v>
      </c>
      <c r="AE56" s="1">
        <f t="shared" si="100"/>
        <v>0.2764</v>
      </c>
      <c r="AF56" s="1">
        <f t="shared" si="101"/>
        <v>0.0468</v>
      </c>
      <c r="AG56" s="1">
        <f t="shared" si="102"/>
        <v>0.1861</v>
      </c>
      <c r="AH56" s="1">
        <f t="shared" si="103"/>
        <v>0.0035</v>
      </c>
      <c r="AI56" s="1">
        <f t="shared" si="104"/>
        <v>0.0253</v>
      </c>
      <c r="AJ56" s="1">
        <f t="shared" si="105"/>
        <v>0.063</v>
      </c>
      <c r="AK56" s="1">
        <f t="shared" si="106"/>
        <v>0.4559</v>
      </c>
      <c r="AL56" s="1">
        <f t="shared" si="107"/>
        <v>0.2884</v>
      </c>
      <c r="AM56" s="1">
        <f t="shared" si="108"/>
        <v>0.4132</v>
      </c>
      <c r="AN56" s="1">
        <f t="shared" si="109"/>
        <v>0.231</v>
      </c>
      <c r="AO56" s="1">
        <f t="shared" si="110"/>
        <v>0.0645</v>
      </c>
      <c r="AP56" s="1">
        <f t="shared" si="111"/>
        <v>0.0088</v>
      </c>
      <c r="AQ56" s="1">
        <f t="shared" si="112"/>
        <v>0.0142</v>
      </c>
      <c r="AR56" s="1">
        <f t="shared" si="113"/>
        <v>0.0723</v>
      </c>
      <c r="AS56" s="1">
        <f t="shared" si="114"/>
        <v>0.0982</v>
      </c>
      <c r="AT56" s="1">
        <f t="shared" si="115"/>
        <v>0.1945</v>
      </c>
      <c r="AU56" s="1">
        <f t="shared" si="116"/>
        <v>0.0293</v>
      </c>
      <c r="AV56" s="1">
        <f t="shared" si="117"/>
        <v>0.0281</v>
      </c>
      <c r="AW56" s="4">
        <f t="shared" si="118"/>
        <v>0.0585</v>
      </c>
      <c r="BA56" s="1">
        <f t="shared" si="128"/>
        <v>0.00608254390084652</v>
      </c>
      <c r="BB56" s="1">
        <f t="shared" si="2"/>
        <v>0.00513951723944137</v>
      </c>
      <c r="BC56" s="1">
        <f t="shared" si="3"/>
        <v>0.0124173723477607</v>
      </c>
      <c r="BD56" s="1">
        <f t="shared" ref="BD56:BV56" si="163">AD56/SUM(AD$2:AD$91)</f>
        <v>0.00726646475014638</v>
      </c>
      <c r="BE56" s="1">
        <f t="shared" si="163"/>
        <v>0.00941933417166771</v>
      </c>
      <c r="BF56" s="1">
        <f t="shared" si="163"/>
        <v>0.00570189332098735</v>
      </c>
      <c r="BG56" s="1">
        <f t="shared" si="163"/>
        <v>0.00659304842578126</v>
      </c>
      <c r="BH56" s="1">
        <f t="shared" si="163"/>
        <v>0.000724172891105087</v>
      </c>
      <c r="BI56" s="1">
        <f t="shared" si="163"/>
        <v>0.00292908827785818</v>
      </c>
      <c r="BJ56" s="1">
        <f t="shared" si="163"/>
        <v>0.00734711013667958</v>
      </c>
      <c r="BK56" s="1">
        <f t="shared" si="163"/>
        <v>0.00872602687287065</v>
      </c>
      <c r="BL56" s="1">
        <f t="shared" si="163"/>
        <v>0.0109496672197185</v>
      </c>
      <c r="BM56" s="1">
        <f t="shared" si="163"/>
        <v>0.0108373221428103</v>
      </c>
      <c r="BN56" s="1">
        <f t="shared" si="163"/>
        <v>0.0100291322412723</v>
      </c>
      <c r="BO56" s="1">
        <f t="shared" si="163"/>
        <v>0.00828686692191074</v>
      </c>
      <c r="BP56" s="1">
        <f t="shared" si="163"/>
        <v>0.00142450142450142</v>
      </c>
      <c r="BQ56" s="1">
        <f t="shared" si="163"/>
        <v>0.00418903770133931</v>
      </c>
      <c r="BR56" s="1">
        <f t="shared" si="163"/>
        <v>0.007999734448649</v>
      </c>
      <c r="BS56" s="1">
        <f t="shared" si="163"/>
        <v>0.00993253562867286</v>
      </c>
      <c r="BT56" s="1">
        <f t="shared" si="163"/>
        <v>0.00535318645327315</v>
      </c>
      <c r="BU56" s="1">
        <f t="shared" si="163"/>
        <v>0.00312110527605271</v>
      </c>
      <c r="BV56" s="1">
        <f t="shared" si="163"/>
        <v>0.0037348644948629</v>
      </c>
      <c r="CA56" s="1">
        <f t="shared" si="120"/>
        <v>-5.10233226576643</v>
      </c>
      <c r="CB56" s="1">
        <f t="shared" ref="CB56:CV56" si="164">IF(BB56=0,0,LN(BB56))</f>
        <v>-5.27079612621371</v>
      </c>
      <c r="CC56" s="1">
        <f t="shared" si="164"/>
        <v>-4.38865879106293</v>
      </c>
      <c r="CD56" s="1">
        <f t="shared" si="164"/>
        <v>-4.92448538491836</v>
      </c>
      <c r="CE56" s="1">
        <f t="shared" si="164"/>
        <v>-4.66499087530518</v>
      </c>
      <c r="CF56" s="1">
        <f t="shared" si="164"/>
        <v>-5.16695699771835</v>
      </c>
      <c r="CG56" s="1">
        <f t="shared" si="164"/>
        <v>-5.02173945384818</v>
      </c>
      <c r="CH56" s="1">
        <f t="shared" si="164"/>
        <v>-7.2304803942178</v>
      </c>
      <c r="CI56" s="1">
        <f t="shared" si="164"/>
        <v>-5.83306407234245</v>
      </c>
      <c r="CJ56" s="1">
        <f t="shared" si="164"/>
        <v>-4.91344822175545</v>
      </c>
      <c r="CK56" s="1">
        <f t="shared" si="164"/>
        <v>-4.74144512465325</v>
      </c>
      <c r="CL56" s="1">
        <f t="shared" si="164"/>
        <v>-4.51444621407473</v>
      </c>
      <c r="CM56" s="1">
        <f t="shared" si="164"/>
        <v>-4.52475934828486</v>
      </c>
      <c r="CN56" s="1">
        <f t="shared" si="164"/>
        <v>-4.60226119707485</v>
      </c>
      <c r="CO56" s="1">
        <f t="shared" si="164"/>
        <v>-4.79308331590102</v>
      </c>
      <c r="CP56" s="1">
        <f t="shared" si="164"/>
        <v>-6.55393340402581</v>
      </c>
      <c r="CQ56" s="1">
        <f t="shared" si="164"/>
        <v>-5.47528423697674</v>
      </c>
      <c r="CR56" s="1">
        <f t="shared" si="164"/>
        <v>-4.82834693177211</v>
      </c>
      <c r="CS56" s="1">
        <f t="shared" si="164"/>
        <v>-4.61193948320188</v>
      </c>
      <c r="CT56" s="1">
        <f t="shared" si="164"/>
        <v>-5.23006329663011</v>
      </c>
      <c r="CU56" s="1">
        <f t="shared" si="164"/>
        <v>-5.76956808474919</v>
      </c>
      <c r="CV56" s="1">
        <f t="shared" si="164"/>
        <v>-5.590043740878</v>
      </c>
    </row>
    <row r="57" spans="1:100">
      <c r="A57" s="1" t="s">
        <v>36</v>
      </c>
      <c r="B57" s="1">
        <v>2020</v>
      </c>
      <c r="C57" s="1">
        <v>1524.67</v>
      </c>
      <c r="D57" s="1">
        <v>58565</v>
      </c>
      <c r="E57" s="1">
        <v>-4.9</v>
      </c>
      <c r="F57" s="1">
        <v>41.24</v>
      </c>
      <c r="G57" s="3">
        <v>44.5</v>
      </c>
      <c r="H57" s="3">
        <v>70.9</v>
      </c>
      <c r="I57" s="1">
        <f t="shared" si="38"/>
        <v>2667</v>
      </c>
      <c r="J57" s="1">
        <v>0.37</v>
      </c>
      <c r="K57" s="1">
        <v>10.71</v>
      </c>
      <c r="L57" s="1">
        <v>602.76</v>
      </c>
      <c r="M57" s="1">
        <f t="shared" si="0"/>
        <v>22675</v>
      </c>
      <c r="N57" s="1">
        <v>32394</v>
      </c>
      <c r="O57" s="1">
        <v>16359</v>
      </c>
      <c r="P57" s="1">
        <v>67604</v>
      </c>
      <c r="Q57" s="1">
        <v>38.29</v>
      </c>
      <c r="R57" s="3">
        <v>6.5</v>
      </c>
      <c r="S57" s="1">
        <v>29.49</v>
      </c>
      <c r="T57" s="1">
        <v>6840</v>
      </c>
      <c r="U57" s="1">
        <v>265.83</v>
      </c>
      <c r="V57" s="1">
        <v>56.74</v>
      </c>
      <c r="W57" s="1">
        <v>4.05</v>
      </c>
      <c r="X57" s="1">
        <v>6.23</v>
      </c>
      <c r="AA57" s="1">
        <f t="shared" si="96"/>
        <v>0.0249</v>
      </c>
      <c r="AB57" s="1">
        <f t="shared" si="97"/>
        <v>0.2072</v>
      </c>
      <c r="AC57" s="1">
        <f t="shared" si="98"/>
        <v>0.1842</v>
      </c>
      <c r="AD57" s="1">
        <f t="shared" si="99"/>
        <v>0.717</v>
      </c>
      <c r="AE57" s="1">
        <f t="shared" si="100"/>
        <v>0.1423</v>
      </c>
      <c r="AF57" s="1">
        <f t="shared" si="101"/>
        <v>0.0171</v>
      </c>
      <c r="AG57" s="1">
        <f t="shared" si="102"/>
        <v>0.1327</v>
      </c>
      <c r="AH57" s="1">
        <f t="shared" si="103"/>
        <v>0.003</v>
      </c>
      <c r="AI57" s="1">
        <f t="shared" si="104"/>
        <v>0.0108</v>
      </c>
      <c r="AJ57" s="1">
        <f t="shared" si="105"/>
        <v>0.0216</v>
      </c>
      <c r="AK57" s="1">
        <f t="shared" si="106"/>
        <v>0.3367</v>
      </c>
      <c r="AL57" s="1">
        <f t="shared" si="107"/>
        <v>0.0535</v>
      </c>
      <c r="AM57" s="1">
        <f t="shared" si="108"/>
        <v>0.2235</v>
      </c>
      <c r="AN57" s="1">
        <f t="shared" si="109"/>
        <v>0.0793</v>
      </c>
      <c r="AO57" s="1">
        <f t="shared" si="110"/>
        <v>0.0041</v>
      </c>
      <c r="AP57" s="1">
        <f t="shared" si="111"/>
        <v>0.0058</v>
      </c>
      <c r="AQ57" s="1">
        <f t="shared" si="112"/>
        <v>0.0061</v>
      </c>
      <c r="AR57" s="1">
        <f t="shared" si="113"/>
        <v>0.0769</v>
      </c>
      <c r="AS57" s="1">
        <f t="shared" si="114"/>
        <v>0.0445</v>
      </c>
      <c r="AT57" s="1">
        <f t="shared" si="115"/>
        <v>0.3205</v>
      </c>
      <c r="AU57" s="1">
        <f t="shared" si="116"/>
        <v>0.0188</v>
      </c>
      <c r="AV57" s="1">
        <f t="shared" si="117"/>
        <v>0.013</v>
      </c>
      <c r="AW57" s="4">
        <f t="shared" si="118"/>
        <v>0.0326</v>
      </c>
      <c r="BA57" s="1">
        <f t="shared" si="128"/>
        <v>0.00285226634898452</v>
      </c>
      <c r="BB57" s="1">
        <f t="shared" si="2"/>
        <v>0.00582235085845955</v>
      </c>
      <c r="BC57" s="1">
        <f t="shared" si="3"/>
        <v>0.00380262674390279</v>
      </c>
      <c r="BD57" s="1">
        <f t="shared" ref="BD57:BV57" si="165">AD57/SUM(AD$2:AD$91)</f>
        <v>0.0129571132202312</v>
      </c>
      <c r="BE57" s="1">
        <f t="shared" si="165"/>
        <v>0.00484938948128913</v>
      </c>
      <c r="BF57" s="1">
        <f t="shared" si="165"/>
        <v>0.00208338409805307</v>
      </c>
      <c r="BG57" s="1">
        <f t="shared" si="165"/>
        <v>0.00470122260129593</v>
      </c>
      <c r="BH57" s="1">
        <f t="shared" si="165"/>
        <v>0.000620719620947218</v>
      </c>
      <c r="BI57" s="1">
        <f t="shared" si="165"/>
        <v>0.00125036179450072</v>
      </c>
      <c r="BJ57" s="1">
        <f t="shared" si="165"/>
        <v>0.00251900918971871</v>
      </c>
      <c r="BK57" s="1">
        <f t="shared" si="165"/>
        <v>0.00644451249856449</v>
      </c>
      <c r="BL57" s="1">
        <f t="shared" si="165"/>
        <v>0.00203123160976054</v>
      </c>
      <c r="BM57" s="1">
        <f t="shared" si="165"/>
        <v>0.0058619106943807</v>
      </c>
      <c r="BN57" s="1">
        <f t="shared" si="165"/>
        <v>0.00344290124126792</v>
      </c>
      <c r="BO57" s="1">
        <f t="shared" si="165"/>
        <v>0.000526762083408279</v>
      </c>
      <c r="BP57" s="1">
        <f t="shared" si="165"/>
        <v>0.000938875938875939</v>
      </c>
      <c r="BQ57" s="1">
        <f t="shared" si="165"/>
        <v>0.00179951619564576</v>
      </c>
      <c r="BR57" s="1">
        <f t="shared" si="165"/>
        <v>0.00850870787138462</v>
      </c>
      <c r="BS57" s="1">
        <f t="shared" si="165"/>
        <v>0.00450099628794239</v>
      </c>
      <c r="BT57" s="1">
        <f t="shared" si="165"/>
        <v>0.00882106045385112</v>
      </c>
      <c r="BU57" s="1">
        <f t="shared" si="165"/>
        <v>0.00200262045016351</v>
      </c>
      <c r="BV57" s="1">
        <f t="shared" si="165"/>
        <v>0.00172787325385116</v>
      </c>
      <c r="CA57" s="1">
        <f t="shared" si="120"/>
        <v>-5.85964139054366</v>
      </c>
      <c r="CB57" s="1">
        <f t="shared" ref="CB57:CV57" si="166">IF(BB57=0,0,LN(BB57))</f>
        <v>-5.1460511712252</v>
      </c>
      <c r="CC57" s="1">
        <f t="shared" si="166"/>
        <v>-5.57206320265646</v>
      </c>
      <c r="CD57" s="1">
        <f t="shared" si="166"/>
        <v>-4.34611035822197</v>
      </c>
      <c r="CE57" s="1">
        <f t="shared" si="166"/>
        <v>-5.32890246210289</v>
      </c>
      <c r="CF57" s="1">
        <f t="shared" si="166"/>
        <v>-6.17376173713333</v>
      </c>
      <c r="CG57" s="1">
        <f t="shared" si="166"/>
        <v>-5.35993267615822</v>
      </c>
      <c r="CH57" s="1">
        <f t="shared" si="166"/>
        <v>-7.38463107404506</v>
      </c>
      <c r="CI57" s="1">
        <f t="shared" si="166"/>
        <v>-6.68432233394575</v>
      </c>
      <c r="CJ57" s="1">
        <f t="shared" si="166"/>
        <v>-5.98388963345686</v>
      </c>
      <c r="CK57" s="1">
        <f t="shared" si="166"/>
        <v>-5.04452628570562</v>
      </c>
      <c r="CL57" s="1">
        <f t="shared" si="166"/>
        <v>-6.19911296558356</v>
      </c>
      <c r="CM57" s="1">
        <f t="shared" si="166"/>
        <v>-5.13927967147672</v>
      </c>
      <c r="CN57" s="1">
        <f t="shared" si="166"/>
        <v>-5.67144077895584</v>
      </c>
      <c r="CO57" s="1">
        <f t="shared" si="166"/>
        <v>-7.54876156599248</v>
      </c>
      <c r="CP57" s="1">
        <f t="shared" si="166"/>
        <v>-6.9708272079576</v>
      </c>
      <c r="CQ57" s="1">
        <f t="shared" si="166"/>
        <v>-6.32023743040469</v>
      </c>
      <c r="CR57" s="1">
        <f t="shared" si="166"/>
        <v>-4.76666518442523</v>
      </c>
      <c r="CS57" s="1">
        <f t="shared" si="166"/>
        <v>-5.4034565093901</v>
      </c>
      <c r="CT57" s="1">
        <f t="shared" si="166"/>
        <v>-4.73061318332789</v>
      </c>
      <c r="CU57" s="1">
        <f t="shared" si="166"/>
        <v>-6.2132987309363</v>
      </c>
      <c r="CV57" s="1">
        <f t="shared" si="166"/>
        <v>-6.36086395975617</v>
      </c>
    </row>
    <row r="58" spans="1:100">
      <c r="A58" s="1" t="s">
        <v>36</v>
      </c>
      <c r="B58" s="1">
        <v>2021</v>
      </c>
      <c r="C58" s="1">
        <v>1751.82</v>
      </c>
      <c r="D58" s="1">
        <v>66470</v>
      </c>
      <c r="E58" s="1">
        <v>12.8</v>
      </c>
      <c r="F58" s="1">
        <v>40.14</v>
      </c>
      <c r="G58" s="1">
        <v>46.35</v>
      </c>
      <c r="H58" s="1">
        <v>94.09</v>
      </c>
      <c r="I58" s="1">
        <f t="shared" si="38"/>
        <v>3601</v>
      </c>
      <c r="J58" s="1">
        <v>0.52</v>
      </c>
      <c r="K58" s="1">
        <v>14.32</v>
      </c>
      <c r="L58" s="1">
        <v>792.34</v>
      </c>
      <c r="M58" s="1">
        <f t="shared" si="0"/>
        <v>30326</v>
      </c>
      <c r="N58" s="1">
        <v>35990</v>
      </c>
      <c r="O58" s="1">
        <v>18534</v>
      </c>
      <c r="P58" s="1">
        <v>72762</v>
      </c>
      <c r="Q58" s="1">
        <v>41.97</v>
      </c>
      <c r="R58" s="3">
        <v>6.3</v>
      </c>
      <c r="S58" s="1">
        <v>28.16</v>
      </c>
      <c r="T58" s="1">
        <v>6491</v>
      </c>
      <c r="U58" s="1">
        <v>261.27</v>
      </c>
      <c r="V58" s="1">
        <v>57.35</v>
      </c>
      <c r="W58" s="1">
        <v>5.15</v>
      </c>
      <c r="X58" s="1">
        <v>7.07</v>
      </c>
      <c r="AA58" s="1">
        <f t="shared" si="96"/>
        <v>0.0287</v>
      </c>
      <c r="AB58" s="1">
        <f t="shared" si="97"/>
        <v>0.2704</v>
      </c>
      <c r="AC58" s="1">
        <f t="shared" si="98"/>
        <v>0.8496</v>
      </c>
      <c r="AD58" s="1">
        <f t="shared" si="99"/>
        <v>0.6747</v>
      </c>
      <c r="AE58" s="1">
        <f t="shared" si="100"/>
        <v>0.211</v>
      </c>
      <c r="AF58" s="1">
        <f t="shared" si="101"/>
        <v>0.023</v>
      </c>
      <c r="AG58" s="1">
        <f t="shared" si="102"/>
        <v>0.2188</v>
      </c>
      <c r="AH58" s="1">
        <f t="shared" si="103"/>
        <v>0.0042</v>
      </c>
      <c r="AI58" s="1">
        <f t="shared" si="104"/>
        <v>0.0144</v>
      </c>
      <c r="AJ58" s="1">
        <f t="shared" si="105"/>
        <v>0.0286</v>
      </c>
      <c r="AK58" s="1">
        <f t="shared" si="106"/>
        <v>0.4641</v>
      </c>
      <c r="AL58" s="1">
        <f t="shared" si="107"/>
        <v>0.16</v>
      </c>
      <c r="AM58" s="1">
        <f t="shared" si="108"/>
        <v>0.3219</v>
      </c>
      <c r="AN58" s="1">
        <f t="shared" si="109"/>
        <v>0.1002</v>
      </c>
      <c r="AO58" s="1">
        <f t="shared" si="110"/>
        <v>0.0045</v>
      </c>
      <c r="AP58" s="1">
        <f t="shared" si="111"/>
        <v>0.0056</v>
      </c>
      <c r="AQ58" s="1">
        <f t="shared" si="112"/>
        <v>0.0059</v>
      </c>
      <c r="AR58" s="1">
        <f t="shared" si="113"/>
        <v>0.0729</v>
      </c>
      <c r="AS58" s="1">
        <f t="shared" si="114"/>
        <v>0.0438</v>
      </c>
      <c r="AT58" s="1">
        <f t="shared" si="115"/>
        <v>0.3352</v>
      </c>
      <c r="AU58" s="1">
        <f t="shared" si="116"/>
        <v>0.0239</v>
      </c>
      <c r="AV58" s="1">
        <f t="shared" si="117"/>
        <v>0.0149</v>
      </c>
      <c r="AW58" s="4">
        <f t="shared" si="118"/>
        <v>0.0433</v>
      </c>
      <c r="BA58" s="1">
        <f t="shared" si="128"/>
        <v>0.0032875519765404</v>
      </c>
      <c r="BB58" s="1">
        <f t="shared" si="2"/>
        <v>0.00759828027088544</v>
      </c>
      <c r="BC58" s="1">
        <f t="shared" si="3"/>
        <v>0.0175391513660142</v>
      </c>
      <c r="BD58" s="1">
        <f t="shared" ref="BD58:BV58" si="167">AD58/SUM(AD$2:AD$91)</f>
        <v>0.0121926977541004</v>
      </c>
      <c r="BE58" s="1">
        <f t="shared" si="167"/>
        <v>0.00719059157099091</v>
      </c>
      <c r="BF58" s="1">
        <f t="shared" si="167"/>
        <v>0.00280221252954507</v>
      </c>
      <c r="BG58" s="1">
        <f t="shared" si="167"/>
        <v>0.0077515260374043</v>
      </c>
      <c r="BH58" s="1">
        <f t="shared" si="167"/>
        <v>0.000869007469326104</v>
      </c>
      <c r="BI58" s="1">
        <f t="shared" si="167"/>
        <v>0.0016671490593343</v>
      </c>
      <c r="BJ58" s="1">
        <f t="shared" si="167"/>
        <v>0.00333535476046089</v>
      </c>
      <c r="BK58" s="1">
        <f t="shared" si="167"/>
        <v>0.00888297668721051</v>
      </c>
      <c r="BL58" s="1">
        <f t="shared" si="167"/>
        <v>0.00607471135629321</v>
      </c>
      <c r="BM58" s="1">
        <f t="shared" si="167"/>
        <v>0.00844272506720871</v>
      </c>
      <c r="BN58" s="1">
        <f t="shared" si="167"/>
        <v>0.00435029892024018</v>
      </c>
      <c r="BO58" s="1">
        <f t="shared" si="167"/>
        <v>0.000578153506179819</v>
      </c>
      <c r="BP58" s="1">
        <f t="shared" si="167"/>
        <v>0.000906500906500906</v>
      </c>
      <c r="BQ58" s="1">
        <f t="shared" si="167"/>
        <v>0.00174051566464098</v>
      </c>
      <c r="BR58" s="1">
        <f t="shared" si="167"/>
        <v>0.00806612228639713</v>
      </c>
      <c r="BS58" s="1">
        <f t="shared" si="167"/>
        <v>0.00443019409914329</v>
      </c>
      <c r="BT58" s="1">
        <f t="shared" si="167"/>
        <v>0.00922564575391855</v>
      </c>
      <c r="BU58" s="1">
        <f t="shared" si="167"/>
        <v>0.00254588450845255</v>
      </c>
      <c r="BV58" s="1">
        <f t="shared" si="167"/>
        <v>0.00198040857556787</v>
      </c>
      <c r="CA58" s="1">
        <f t="shared" si="120"/>
        <v>-5.71761207124874</v>
      </c>
      <c r="CB58" s="1">
        <f t="shared" ref="CB58:CV58" si="168">IF(BB58=0,0,LN(BB58))</f>
        <v>-4.87983333744172</v>
      </c>
      <c r="CC58" s="1">
        <f t="shared" si="168"/>
        <v>-4.04331967598999</v>
      </c>
      <c r="CD58" s="1">
        <f t="shared" si="168"/>
        <v>-4.40691805118821</v>
      </c>
      <c r="CE58" s="1">
        <f t="shared" si="168"/>
        <v>-4.93498183372263</v>
      </c>
      <c r="CF58" s="1">
        <f t="shared" si="168"/>
        <v>-5.8773459847128</v>
      </c>
      <c r="CG58" s="1">
        <f t="shared" si="168"/>
        <v>-4.85986554694856</v>
      </c>
      <c r="CH58" s="1">
        <f t="shared" si="168"/>
        <v>-7.04815883742385</v>
      </c>
      <c r="CI58" s="1">
        <f t="shared" si="168"/>
        <v>-6.39664026149397</v>
      </c>
      <c r="CJ58" s="1">
        <f t="shared" si="168"/>
        <v>-5.70317623032117</v>
      </c>
      <c r="CK58" s="1">
        <f t="shared" si="168"/>
        <v>-4.72361856562552</v>
      </c>
      <c r="CL58" s="1">
        <f t="shared" si="168"/>
        <v>-5.10362080425169</v>
      </c>
      <c r="CM58" s="1">
        <f t="shared" si="168"/>
        <v>-4.77445014722558</v>
      </c>
      <c r="CN58" s="1">
        <f t="shared" si="168"/>
        <v>-5.43751071894588</v>
      </c>
      <c r="CO58" s="1">
        <f t="shared" si="168"/>
        <v>-7.45567114292647</v>
      </c>
      <c r="CP58" s="1">
        <f t="shared" si="168"/>
        <v>-7.00591852776887</v>
      </c>
      <c r="CQ58" s="1">
        <f t="shared" si="168"/>
        <v>-6.35357385067228</v>
      </c>
      <c r="CR58" s="1">
        <f t="shared" si="168"/>
        <v>-4.82008242192221</v>
      </c>
      <c r="CS58" s="1">
        <f t="shared" si="168"/>
        <v>-5.4193118811799</v>
      </c>
      <c r="CT58" s="1">
        <f t="shared" si="168"/>
        <v>-4.68576809108069</v>
      </c>
      <c r="CU58" s="1">
        <f t="shared" si="168"/>
        <v>-5.97327714183474</v>
      </c>
      <c r="CV58" s="1">
        <f t="shared" si="168"/>
        <v>-6.22445210426629</v>
      </c>
    </row>
    <row r="59" spans="1:100">
      <c r="A59" s="1" t="s">
        <v>36</v>
      </c>
      <c r="B59" s="1">
        <v>2022</v>
      </c>
      <c r="C59" s="1">
        <v>1875.57</v>
      </c>
      <c r="D59" s="1">
        <v>71732</v>
      </c>
      <c r="E59" s="1">
        <v>4.3</v>
      </c>
      <c r="F59" s="1">
        <v>39.41</v>
      </c>
      <c r="G59" s="1">
        <v>47.29</v>
      </c>
      <c r="H59" s="1">
        <v>96.03</v>
      </c>
      <c r="I59" s="1">
        <f t="shared" si="38"/>
        <v>3670</v>
      </c>
      <c r="J59" s="1">
        <v>0.61</v>
      </c>
      <c r="K59" s="1">
        <v>18.17</v>
      </c>
      <c r="L59" s="3">
        <v>835</v>
      </c>
      <c r="M59" s="1">
        <f t="shared" si="0"/>
        <v>31910</v>
      </c>
      <c r="N59" s="1">
        <v>38366</v>
      </c>
      <c r="O59" s="1">
        <v>20017</v>
      </c>
      <c r="P59" s="1">
        <v>81377</v>
      </c>
      <c r="Q59" s="1">
        <v>52.48</v>
      </c>
      <c r="R59" s="1">
        <v>4.51</v>
      </c>
      <c r="S59" s="3">
        <v>32.6</v>
      </c>
      <c r="T59" s="1">
        <v>6719</v>
      </c>
      <c r="U59" s="1">
        <v>261.67</v>
      </c>
      <c r="V59" s="1">
        <v>58.05</v>
      </c>
      <c r="W59" s="1">
        <v>5.37</v>
      </c>
      <c r="X59" s="1">
        <v>7.28</v>
      </c>
      <c r="AA59" s="1">
        <f t="shared" si="96"/>
        <v>0.0308</v>
      </c>
      <c r="AB59" s="1">
        <f t="shared" si="97"/>
        <v>0.3125</v>
      </c>
      <c r="AC59" s="1">
        <f t="shared" si="98"/>
        <v>0.5301</v>
      </c>
      <c r="AD59" s="1">
        <f t="shared" si="99"/>
        <v>0.6467</v>
      </c>
      <c r="AE59" s="1">
        <f t="shared" si="100"/>
        <v>0.2459</v>
      </c>
      <c r="AF59" s="1">
        <f t="shared" si="101"/>
        <v>0.0234</v>
      </c>
      <c r="AG59" s="1">
        <f t="shared" si="102"/>
        <v>0.2252</v>
      </c>
      <c r="AH59" s="1">
        <f t="shared" si="103"/>
        <v>0.0049</v>
      </c>
      <c r="AI59" s="1">
        <f t="shared" si="104"/>
        <v>0.0183</v>
      </c>
      <c r="AJ59" s="1">
        <f t="shared" si="105"/>
        <v>0.0301</v>
      </c>
      <c r="AK59" s="1">
        <f t="shared" si="106"/>
        <v>0.4905</v>
      </c>
      <c r="AL59" s="1">
        <f t="shared" si="107"/>
        <v>0.2304</v>
      </c>
      <c r="AM59" s="1">
        <f t="shared" si="108"/>
        <v>0.3889</v>
      </c>
      <c r="AN59" s="1">
        <f t="shared" si="109"/>
        <v>0.1353</v>
      </c>
      <c r="AO59" s="1">
        <f t="shared" si="110"/>
        <v>0.0056</v>
      </c>
      <c r="AP59" s="1">
        <f t="shared" si="111"/>
        <v>0.004</v>
      </c>
      <c r="AQ59" s="1">
        <f t="shared" si="112"/>
        <v>0.0068</v>
      </c>
      <c r="AR59" s="1">
        <f t="shared" si="113"/>
        <v>0.0755</v>
      </c>
      <c r="AS59" s="1">
        <f t="shared" si="114"/>
        <v>0.0438</v>
      </c>
      <c r="AT59" s="1">
        <f t="shared" si="115"/>
        <v>0.352</v>
      </c>
      <c r="AU59" s="1">
        <f t="shared" si="116"/>
        <v>0.0249</v>
      </c>
      <c r="AV59" s="1">
        <f t="shared" si="117"/>
        <v>0.0154</v>
      </c>
      <c r="AW59" s="4">
        <f t="shared" si="118"/>
        <v>0.0451</v>
      </c>
      <c r="BA59" s="1">
        <f t="shared" si="128"/>
        <v>0.00352810456018969</v>
      </c>
      <c r="BB59" s="1">
        <f t="shared" si="2"/>
        <v>0.00878129654087167</v>
      </c>
      <c r="BC59" s="1">
        <f t="shared" si="3"/>
        <v>0.010943389994261</v>
      </c>
      <c r="BD59" s="1">
        <f t="shared" ref="BD59:BV59" si="169">AD59/SUM(AD$2:AD$91)</f>
        <v>0.0116867017008696</v>
      </c>
      <c r="BE59" s="1">
        <f t="shared" si="169"/>
        <v>0.00837993586401263</v>
      </c>
      <c r="BF59" s="1">
        <f t="shared" si="169"/>
        <v>0.00285094666049368</v>
      </c>
      <c r="BG59" s="1">
        <f t="shared" si="169"/>
        <v>0.00797826171674336</v>
      </c>
      <c r="BH59" s="1">
        <f t="shared" si="169"/>
        <v>0.00101384204754712</v>
      </c>
      <c r="BI59" s="1">
        <f t="shared" si="169"/>
        <v>0.00211866859623734</v>
      </c>
      <c r="BJ59" s="1">
        <f t="shared" si="169"/>
        <v>0.00351028595419135</v>
      </c>
      <c r="BK59" s="1">
        <f t="shared" si="169"/>
        <v>0.00938827852849979</v>
      </c>
      <c r="BL59" s="1">
        <f t="shared" si="169"/>
        <v>0.00874758435306223</v>
      </c>
      <c r="BM59" s="1">
        <f t="shared" si="169"/>
        <v>0.0101999868861058</v>
      </c>
      <c r="BN59" s="1">
        <f t="shared" si="169"/>
        <v>0.0058742060270309</v>
      </c>
      <c r="BO59" s="1">
        <f t="shared" si="169"/>
        <v>0.000719479918801552</v>
      </c>
      <c r="BP59" s="1">
        <f t="shared" si="169"/>
        <v>0.000647500647500647</v>
      </c>
      <c r="BQ59" s="1">
        <f t="shared" si="169"/>
        <v>0.00200601805416249</v>
      </c>
      <c r="BR59" s="1">
        <f t="shared" si="169"/>
        <v>0.008353802916639</v>
      </c>
      <c r="BS59" s="1">
        <f t="shared" si="169"/>
        <v>0.00443019409914329</v>
      </c>
      <c r="BT59" s="1">
        <f t="shared" si="169"/>
        <v>0.00968802895399562</v>
      </c>
      <c r="BU59" s="1">
        <f t="shared" si="169"/>
        <v>0.00265240687282295</v>
      </c>
      <c r="BV59" s="1">
        <f t="shared" si="169"/>
        <v>0.00204686523917753</v>
      </c>
      <c r="CA59" s="1">
        <f t="shared" si="120"/>
        <v>-5.64699450403479</v>
      </c>
      <c r="CB59" s="1">
        <f t="shared" ref="CB59:CV59" si="170">IF(BB59=0,0,LN(BB59))</f>
        <v>-4.73513121243407</v>
      </c>
      <c r="CC59" s="1">
        <f t="shared" si="170"/>
        <v>-4.5150196584839</v>
      </c>
      <c r="CD59" s="1">
        <f t="shared" si="170"/>
        <v>-4.44930369036905</v>
      </c>
      <c r="CE59" s="1">
        <f t="shared" si="170"/>
        <v>-4.78191501797655</v>
      </c>
      <c r="CF59" s="1">
        <f t="shared" si="170"/>
        <v>-5.86010417827829</v>
      </c>
      <c r="CG59" s="1">
        <f t="shared" si="170"/>
        <v>-4.83103472123085</v>
      </c>
      <c r="CH59" s="1">
        <f t="shared" si="170"/>
        <v>-6.89400815759659</v>
      </c>
      <c r="CI59" s="1">
        <f t="shared" si="170"/>
        <v>-6.15696740822855</v>
      </c>
      <c r="CJ59" s="1">
        <f t="shared" si="170"/>
        <v>-5.65205777639215</v>
      </c>
      <c r="CK59" s="1">
        <f t="shared" si="170"/>
        <v>-4.66829333286723</v>
      </c>
      <c r="CL59" s="1">
        <f t="shared" si="170"/>
        <v>-4.73897769066378</v>
      </c>
      <c r="CM59" s="1">
        <f t="shared" si="170"/>
        <v>-4.58536884436864</v>
      </c>
      <c r="CN59" s="1">
        <f t="shared" si="170"/>
        <v>-5.1371843724199</v>
      </c>
      <c r="CO59" s="1">
        <f t="shared" si="170"/>
        <v>-7.23698194196164</v>
      </c>
      <c r="CP59" s="1">
        <f t="shared" si="170"/>
        <v>-7.34239076439008</v>
      </c>
      <c r="CQ59" s="1">
        <f t="shared" si="170"/>
        <v>-6.21160358940189</v>
      </c>
      <c r="CR59" s="1">
        <f t="shared" si="170"/>
        <v>-4.78503840468185</v>
      </c>
      <c r="CS59" s="1">
        <f t="shared" si="170"/>
        <v>-5.4193118811799</v>
      </c>
      <c r="CT59" s="1">
        <f t="shared" si="170"/>
        <v>-4.63686428409052</v>
      </c>
      <c r="CU59" s="1">
        <f t="shared" si="170"/>
        <v>-5.93228779730155</v>
      </c>
      <c r="CV59" s="1">
        <f t="shared" si="170"/>
        <v>-6.19144580779812</v>
      </c>
    </row>
    <row r="60" spans="1:100">
      <c r="A60" s="1" t="s">
        <v>36</v>
      </c>
      <c r="B60" s="1">
        <v>2023</v>
      </c>
      <c r="C60" s="1">
        <v>1819.23</v>
      </c>
      <c r="D60" s="1">
        <v>69634</v>
      </c>
      <c r="E60" s="1">
        <v>1.6</v>
      </c>
      <c r="F60" s="1">
        <v>32.68</v>
      </c>
      <c r="G60" s="1">
        <v>53.15</v>
      </c>
      <c r="H60" s="1">
        <v>106.97</v>
      </c>
      <c r="I60" s="1">
        <f t="shared" si="38"/>
        <v>4101</v>
      </c>
      <c r="J60" s="1">
        <v>0.89</v>
      </c>
      <c r="K60" s="1">
        <v>17.57</v>
      </c>
      <c r="L60" s="1">
        <v>912.64</v>
      </c>
      <c r="M60" s="1">
        <f t="shared" si="0"/>
        <v>34988</v>
      </c>
      <c r="N60" s="1">
        <v>40361</v>
      </c>
      <c r="O60" s="1">
        <v>21609</v>
      </c>
      <c r="P60" s="1">
        <v>89615</v>
      </c>
      <c r="Q60" s="1">
        <v>61.36</v>
      </c>
      <c r="R60" s="1">
        <v>5.28</v>
      </c>
      <c r="S60" s="1">
        <v>39.01</v>
      </c>
      <c r="T60" s="1">
        <v>8156</v>
      </c>
      <c r="U60" s="1">
        <v>260.84</v>
      </c>
      <c r="V60" s="1">
        <v>58.85</v>
      </c>
      <c r="W60" s="1">
        <v>6.51</v>
      </c>
      <c r="X60" s="1">
        <v>7.33</v>
      </c>
      <c r="AA60" s="1">
        <f t="shared" si="96"/>
        <v>0.0298</v>
      </c>
      <c r="AB60" s="1">
        <f t="shared" si="97"/>
        <v>0.2957</v>
      </c>
      <c r="AC60" s="1">
        <f t="shared" si="98"/>
        <v>0.4286</v>
      </c>
      <c r="AD60" s="1">
        <f t="shared" si="99"/>
        <v>0.3882</v>
      </c>
      <c r="AE60" s="1">
        <f t="shared" si="100"/>
        <v>0.4636</v>
      </c>
      <c r="AF60" s="1">
        <f t="shared" si="101"/>
        <v>0.0262</v>
      </c>
      <c r="AG60" s="1">
        <f t="shared" si="102"/>
        <v>0.2649</v>
      </c>
      <c r="AH60" s="1">
        <f t="shared" si="103"/>
        <v>0.0071</v>
      </c>
      <c r="AI60" s="1">
        <f t="shared" si="104"/>
        <v>0.0177</v>
      </c>
      <c r="AJ60" s="1">
        <f t="shared" si="105"/>
        <v>0.033</v>
      </c>
      <c r="AK60" s="1">
        <f t="shared" si="106"/>
        <v>0.5418</v>
      </c>
      <c r="AL60" s="1">
        <f t="shared" si="107"/>
        <v>0.2895</v>
      </c>
      <c r="AM60" s="1">
        <f t="shared" si="108"/>
        <v>0.4609</v>
      </c>
      <c r="AN60" s="1">
        <f t="shared" si="109"/>
        <v>0.1688</v>
      </c>
      <c r="AO60" s="1">
        <f t="shared" si="110"/>
        <v>0.0066</v>
      </c>
      <c r="AP60" s="1">
        <f t="shared" si="111"/>
        <v>0.0047</v>
      </c>
      <c r="AQ60" s="1">
        <f t="shared" si="112"/>
        <v>0.0082</v>
      </c>
      <c r="AR60" s="1">
        <f t="shared" si="113"/>
        <v>0.092</v>
      </c>
      <c r="AS60" s="1">
        <f t="shared" si="114"/>
        <v>0.0437</v>
      </c>
      <c r="AT60" s="1">
        <f t="shared" si="115"/>
        <v>0.3712</v>
      </c>
      <c r="AU60" s="1">
        <f t="shared" si="116"/>
        <v>0.0302</v>
      </c>
      <c r="AV60" s="1">
        <f t="shared" si="117"/>
        <v>0.0155</v>
      </c>
      <c r="AW60" s="4">
        <f t="shared" si="118"/>
        <v>0.0504</v>
      </c>
      <c r="BA60" s="1">
        <f t="shared" si="128"/>
        <v>0.00341355571083289</v>
      </c>
      <c r="BB60" s="1">
        <f t="shared" si="2"/>
        <v>0.00830921403883441</v>
      </c>
      <c r="BC60" s="1">
        <f t="shared" si="3"/>
        <v>0.00884802292310931</v>
      </c>
      <c r="BD60" s="1">
        <f t="shared" ref="BD60:BV60" si="171">AD60/SUM(AD$2:AD$91)</f>
        <v>0.00701527385229252</v>
      </c>
      <c r="BE60" s="1">
        <f t="shared" si="171"/>
        <v>0.0157988542763573</v>
      </c>
      <c r="BF60" s="1">
        <f t="shared" si="171"/>
        <v>0.00319208557713395</v>
      </c>
      <c r="BG60" s="1">
        <f t="shared" si="171"/>
        <v>0.0093847314776435</v>
      </c>
      <c r="BH60" s="1">
        <f t="shared" si="171"/>
        <v>0.00146903643624175</v>
      </c>
      <c r="BI60" s="1">
        <f t="shared" si="171"/>
        <v>0.00204920405209841</v>
      </c>
      <c r="BJ60" s="1">
        <f t="shared" si="171"/>
        <v>0.00384848626207026</v>
      </c>
      <c r="BK60" s="1">
        <f t="shared" si="171"/>
        <v>0.0103701718791869</v>
      </c>
      <c r="BL60" s="1">
        <f t="shared" si="171"/>
        <v>0.010991430860293</v>
      </c>
      <c r="BM60" s="1">
        <f t="shared" si="171"/>
        <v>0.0120883876467117</v>
      </c>
      <c r="BN60" s="1">
        <f t="shared" si="171"/>
        <v>0.00732864728279982</v>
      </c>
      <c r="BO60" s="1">
        <f t="shared" si="171"/>
        <v>0.000847958475730401</v>
      </c>
      <c r="BP60" s="1">
        <f t="shared" si="171"/>
        <v>0.000760813260813261</v>
      </c>
      <c r="BQ60" s="1">
        <f t="shared" si="171"/>
        <v>0.00241902177119594</v>
      </c>
      <c r="BR60" s="1">
        <f t="shared" si="171"/>
        <v>0.0101794684547124</v>
      </c>
      <c r="BS60" s="1">
        <f t="shared" si="171"/>
        <v>0.00442007950074342</v>
      </c>
      <c r="BT60" s="1">
        <f t="shared" si="171"/>
        <v>0.0102164668969408</v>
      </c>
      <c r="BU60" s="1">
        <f t="shared" si="171"/>
        <v>0.00321697540398607</v>
      </c>
      <c r="BV60" s="1">
        <f t="shared" si="171"/>
        <v>0.00206015657189946</v>
      </c>
      <c r="CA60" s="1">
        <f t="shared" si="120"/>
        <v>-5.68000080050296</v>
      </c>
      <c r="CB60" s="1">
        <f t="shared" ref="CB60:CV60" si="172">IF(BB60=0,0,LN(BB60))</f>
        <v>-4.7903902547521</v>
      </c>
      <c r="CC60" s="1">
        <f t="shared" si="172"/>
        <v>-4.72756124343819</v>
      </c>
      <c r="CD60" s="1">
        <f t="shared" si="172"/>
        <v>-4.95966552808668</v>
      </c>
      <c r="CE60" s="1">
        <f t="shared" si="172"/>
        <v>-4.1478178557331</v>
      </c>
      <c r="CF60" s="1">
        <f t="shared" si="172"/>
        <v>-5.7470807898749</v>
      </c>
      <c r="CG60" s="1">
        <f t="shared" si="172"/>
        <v>-4.66867122121836</v>
      </c>
      <c r="CH60" s="1">
        <f t="shared" si="172"/>
        <v>-6.5231485786659</v>
      </c>
      <c r="CI60" s="1">
        <f t="shared" si="172"/>
        <v>-6.19030382849614</v>
      </c>
      <c r="CJ60" s="1">
        <f t="shared" si="172"/>
        <v>-5.5600753866805</v>
      </c>
      <c r="CK60" s="1">
        <f t="shared" si="172"/>
        <v>-4.56882168222165</v>
      </c>
      <c r="CL60" s="1">
        <f t="shared" si="172"/>
        <v>-4.51063932247247</v>
      </c>
      <c r="CM60" s="1">
        <f t="shared" si="172"/>
        <v>-4.41550998580388</v>
      </c>
      <c r="CN60" s="1">
        <f t="shared" si="172"/>
        <v>-4.91596432543478</v>
      </c>
      <c r="CO60" s="1">
        <f t="shared" si="172"/>
        <v>-7.07267889067036</v>
      </c>
      <c r="CP60" s="1">
        <f t="shared" si="172"/>
        <v>-7.18112261679396</v>
      </c>
      <c r="CQ60" s="1">
        <f t="shared" si="172"/>
        <v>-6.02439204731375</v>
      </c>
      <c r="CR60" s="1">
        <f t="shared" si="172"/>
        <v>-4.58738248388778</v>
      </c>
      <c r="CS60" s="1">
        <f t="shared" si="172"/>
        <v>-5.42159759646075</v>
      </c>
      <c r="CT60" s="1">
        <f t="shared" si="172"/>
        <v>-4.58375445877657</v>
      </c>
      <c r="CU60" s="1">
        <f t="shared" si="172"/>
        <v>-5.73931367639138</v>
      </c>
      <c r="CV60" s="1">
        <f t="shared" si="172"/>
        <v>-6.1849732932925</v>
      </c>
    </row>
    <row r="61" spans="1:100">
      <c r="A61" s="1" t="s">
        <v>36</v>
      </c>
      <c r="B61" s="1">
        <v>2024</v>
      </c>
      <c r="C61" s="1">
        <v>1944.57</v>
      </c>
      <c r="D61" s="1">
        <v>74665</v>
      </c>
      <c r="E61" s="1">
        <v>6.1</v>
      </c>
      <c r="F61" s="1">
        <v>32.97</v>
      </c>
      <c r="G61" s="1">
        <v>52.46</v>
      </c>
      <c r="H61" s="1">
        <v>115.68</v>
      </c>
      <c r="I61" s="1">
        <f t="shared" si="38"/>
        <v>4449</v>
      </c>
      <c r="J61" s="1">
        <v>0.41</v>
      </c>
      <c r="K61" s="1">
        <v>20.15</v>
      </c>
      <c r="L61" s="1">
        <v>938.03</v>
      </c>
      <c r="M61" s="1">
        <f t="shared" si="0"/>
        <v>36073</v>
      </c>
      <c r="N61" s="1">
        <v>42145</v>
      </c>
      <c r="O61" s="1">
        <v>22867</v>
      </c>
      <c r="P61" s="1">
        <v>99863</v>
      </c>
      <c r="Q61" s="1">
        <v>64.35</v>
      </c>
      <c r="R61" s="1">
        <v>5.75</v>
      </c>
      <c r="S61" s="1">
        <v>43.11</v>
      </c>
      <c r="T61" s="1">
        <v>9494</v>
      </c>
      <c r="U61" s="1">
        <v>260.04</v>
      </c>
      <c r="V61" s="1">
        <v>59.75</v>
      </c>
      <c r="W61" s="1">
        <v>7.52</v>
      </c>
      <c r="X61" s="1">
        <v>10.26</v>
      </c>
      <c r="AA61" s="1">
        <f t="shared" si="96"/>
        <v>0.0319</v>
      </c>
      <c r="AB61" s="1">
        <f t="shared" si="97"/>
        <v>0.3359</v>
      </c>
      <c r="AC61" s="1">
        <f t="shared" si="98"/>
        <v>0.5977</v>
      </c>
      <c r="AD61" s="1">
        <f t="shared" si="99"/>
        <v>0.3994</v>
      </c>
      <c r="AE61" s="1">
        <f t="shared" si="100"/>
        <v>0.438</v>
      </c>
      <c r="AF61" s="1">
        <f t="shared" si="101"/>
        <v>0.0284</v>
      </c>
      <c r="AG61" s="1">
        <f t="shared" si="102"/>
        <v>0.297</v>
      </c>
      <c r="AH61" s="1">
        <f t="shared" si="103"/>
        <v>0.0033</v>
      </c>
      <c r="AI61" s="1">
        <f t="shared" si="104"/>
        <v>0.0203</v>
      </c>
      <c r="AJ61" s="1">
        <f t="shared" si="105"/>
        <v>0.0339</v>
      </c>
      <c r="AK61" s="1">
        <f t="shared" si="106"/>
        <v>0.5599</v>
      </c>
      <c r="AL61" s="1">
        <f t="shared" si="107"/>
        <v>0.3424</v>
      </c>
      <c r="AM61" s="1">
        <f t="shared" si="108"/>
        <v>0.5178</v>
      </c>
      <c r="AN61" s="1">
        <f t="shared" si="109"/>
        <v>0.2105</v>
      </c>
      <c r="AO61" s="1">
        <f t="shared" si="110"/>
        <v>0.0069</v>
      </c>
      <c r="AP61" s="1">
        <f t="shared" si="111"/>
        <v>0.0051</v>
      </c>
      <c r="AQ61" s="1">
        <f t="shared" si="112"/>
        <v>0.0091</v>
      </c>
      <c r="AR61" s="1">
        <f t="shared" si="113"/>
        <v>0.1074</v>
      </c>
      <c r="AS61" s="1">
        <f t="shared" si="114"/>
        <v>0.0435</v>
      </c>
      <c r="AT61" s="1">
        <f t="shared" si="115"/>
        <v>0.3929</v>
      </c>
      <c r="AU61" s="1">
        <f t="shared" si="116"/>
        <v>0.0349</v>
      </c>
      <c r="AV61" s="1">
        <f t="shared" si="117"/>
        <v>0.0223</v>
      </c>
      <c r="AW61" s="4">
        <f t="shared" si="118"/>
        <v>0.0556</v>
      </c>
      <c r="BA61" s="1">
        <f t="shared" si="128"/>
        <v>0.00365410829448218</v>
      </c>
      <c r="BB61" s="1">
        <f t="shared" si="2"/>
        <v>0.00943884002585214</v>
      </c>
      <c r="BC61" s="1">
        <f t="shared" si="3"/>
        <v>0.0123389251076585</v>
      </c>
      <c r="BD61" s="1">
        <f t="shared" ref="BD61:BV61" si="173">AD61/SUM(AD$2:AD$91)</f>
        <v>0.00721767227358484</v>
      </c>
      <c r="BE61" s="1">
        <f t="shared" si="173"/>
        <v>0.0149264412705878</v>
      </c>
      <c r="BF61" s="1">
        <f t="shared" si="173"/>
        <v>0.0034601232973513</v>
      </c>
      <c r="BG61" s="1">
        <f t="shared" si="173"/>
        <v>0.0105219526193285</v>
      </c>
      <c r="BH61" s="1">
        <f t="shared" si="173"/>
        <v>0.000682791583041939</v>
      </c>
      <c r="BI61" s="1">
        <f t="shared" si="173"/>
        <v>0.00235021707670043</v>
      </c>
      <c r="BJ61" s="1">
        <f t="shared" si="173"/>
        <v>0.00395344497830853</v>
      </c>
      <c r="BK61" s="1">
        <f t="shared" si="173"/>
        <v>0.0107166098840103</v>
      </c>
      <c r="BL61" s="1">
        <f t="shared" si="173"/>
        <v>0.0129998823024675</v>
      </c>
      <c r="BM61" s="1">
        <f t="shared" si="173"/>
        <v>0.0135807488033572</v>
      </c>
      <c r="BN61" s="1">
        <f t="shared" si="173"/>
        <v>0.00913910102505546</v>
      </c>
      <c r="BO61" s="1">
        <f t="shared" si="173"/>
        <v>0.000886502042809055</v>
      </c>
      <c r="BP61" s="1">
        <f t="shared" si="173"/>
        <v>0.000825563325563326</v>
      </c>
      <c r="BQ61" s="1">
        <f t="shared" si="173"/>
        <v>0.00268452416071745</v>
      </c>
      <c r="BR61" s="1">
        <f t="shared" si="173"/>
        <v>0.0118834229569143</v>
      </c>
      <c r="BS61" s="1">
        <f t="shared" si="173"/>
        <v>0.00439985030394368</v>
      </c>
      <c r="BT61" s="1">
        <f t="shared" si="173"/>
        <v>0.010813711863707</v>
      </c>
      <c r="BU61" s="1">
        <f t="shared" si="173"/>
        <v>0.00371763051652694</v>
      </c>
      <c r="BV61" s="1">
        <f t="shared" si="173"/>
        <v>0.00296396719699084</v>
      </c>
      <c r="CA61" s="1">
        <f t="shared" si="120"/>
        <v>-5.61190318422352</v>
      </c>
      <c r="CB61" s="1">
        <f t="shared" ref="CB61:CV61" si="174">IF(BB61=0,0,LN(BB61))</f>
        <v>-4.66292218499228</v>
      </c>
      <c r="CC61" s="1">
        <f t="shared" si="174"/>
        <v>-4.39499637064746</v>
      </c>
      <c r="CD61" s="1">
        <f t="shared" si="174"/>
        <v>-4.93122277783988</v>
      </c>
      <c r="CE61" s="1">
        <f t="shared" si="174"/>
        <v>-4.20462105682225</v>
      </c>
      <c r="CF61" s="1">
        <f t="shared" si="174"/>
        <v>-5.66645105547479</v>
      </c>
      <c r="CG61" s="1">
        <f t="shared" si="174"/>
        <v>-4.55429147869369</v>
      </c>
      <c r="CH61" s="1">
        <f t="shared" si="174"/>
        <v>-7.28932089424074</v>
      </c>
      <c r="CI61" s="1">
        <f t="shared" si="174"/>
        <v>-6.05324758202818</v>
      </c>
      <c r="CJ61" s="1">
        <f t="shared" si="174"/>
        <v>-5.53316793376058</v>
      </c>
      <c r="CK61" s="1">
        <f t="shared" si="174"/>
        <v>-4.5359604155178</v>
      </c>
      <c r="CL61" s="1">
        <f t="shared" si="174"/>
        <v>-4.34281497521793</v>
      </c>
      <c r="CM61" s="1">
        <f t="shared" si="174"/>
        <v>-4.2991020182129</v>
      </c>
      <c r="CN61" s="1">
        <f t="shared" si="174"/>
        <v>-4.69519325447421</v>
      </c>
      <c r="CO61" s="1">
        <f t="shared" si="174"/>
        <v>-7.02822712809953</v>
      </c>
      <c r="CP61" s="1">
        <f t="shared" si="174"/>
        <v>-7.09944458577969</v>
      </c>
      <c r="CQ61" s="1">
        <f t="shared" si="174"/>
        <v>-5.92025178806115</v>
      </c>
      <c r="CR61" s="1">
        <f t="shared" si="174"/>
        <v>-4.43261087886206</v>
      </c>
      <c r="CS61" s="1">
        <f t="shared" si="174"/>
        <v>-5.42618476046766</v>
      </c>
      <c r="CT61" s="1">
        <f t="shared" si="174"/>
        <v>-4.5269403331242</v>
      </c>
      <c r="CU61" s="1">
        <f t="shared" si="174"/>
        <v>-5.59466877156383</v>
      </c>
      <c r="CV61" s="1">
        <f t="shared" si="174"/>
        <v>-5.82122663875163</v>
      </c>
    </row>
    <row r="62" spans="1:100">
      <c r="A62" s="1" t="s">
        <v>37</v>
      </c>
      <c r="B62" s="1">
        <v>2020</v>
      </c>
      <c r="C62" s="1">
        <v>1096.72</v>
      </c>
      <c r="D62" s="1">
        <v>51381</v>
      </c>
      <c r="E62" s="1">
        <v>-5.3</v>
      </c>
      <c r="F62" s="1">
        <v>43.52</v>
      </c>
      <c r="G62" s="1">
        <v>40.67</v>
      </c>
      <c r="H62" s="1">
        <v>35.88</v>
      </c>
      <c r="I62" s="1">
        <f t="shared" si="38"/>
        <v>1752</v>
      </c>
      <c r="J62" s="1">
        <v>0.48</v>
      </c>
      <c r="K62" s="3">
        <v>11.6</v>
      </c>
      <c r="L62" s="1">
        <v>547.27</v>
      </c>
      <c r="M62" s="1">
        <f t="shared" si="0"/>
        <v>26723</v>
      </c>
      <c r="N62" s="1">
        <v>30587</v>
      </c>
      <c r="O62" s="1">
        <v>17624</v>
      </c>
      <c r="P62" s="1">
        <v>79828</v>
      </c>
      <c r="Q62" s="1">
        <v>116.61</v>
      </c>
      <c r="R62" s="3">
        <v>6.6</v>
      </c>
      <c r="S62" s="1">
        <v>9.17</v>
      </c>
      <c r="T62" s="1">
        <v>1235</v>
      </c>
      <c r="U62" s="1">
        <v>204.79</v>
      </c>
      <c r="V62" s="1">
        <v>56.83</v>
      </c>
      <c r="W62" s="3">
        <v>0.8</v>
      </c>
      <c r="X62" s="1">
        <v>2.16</v>
      </c>
      <c r="AA62" s="1">
        <f t="shared" si="96"/>
        <v>0.0178</v>
      </c>
      <c r="AB62" s="1">
        <f t="shared" si="97"/>
        <v>0.1497</v>
      </c>
      <c r="AC62" s="1">
        <f t="shared" si="98"/>
        <v>0.1692</v>
      </c>
      <c r="AD62" s="1">
        <f t="shared" si="99"/>
        <v>0.8045</v>
      </c>
      <c r="AE62" s="1">
        <f t="shared" si="100"/>
        <v>0</v>
      </c>
      <c r="AF62" s="1">
        <f t="shared" si="101"/>
        <v>0.0082</v>
      </c>
      <c r="AG62" s="1">
        <f t="shared" si="102"/>
        <v>0.0483</v>
      </c>
      <c r="AH62" s="1">
        <f t="shared" si="103"/>
        <v>0.0039</v>
      </c>
      <c r="AI62" s="1">
        <f t="shared" si="104"/>
        <v>0.0117</v>
      </c>
      <c r="AJ62" s="1">
        <f t="shared" si="105"/>
        <v>0.0196</v>
      </c>
      <c r="AK62" s="1">
        <f t="shared" si="106"/>
        <v>0.4041</v>
      </c>
      <c r="AL62" s="1">
        <f t="shared" si="107"/>
        <v>0</v>
      </c>
      <c r="AM62" s="1">
        <f t="shared" si="108"/>
        <v>0.2807</v>
      </c>
      <c r="AN62" s="1">
        <f t="shared" si="109"/>
        <v>0.129</v>
      </c>
      <c r="AO62" s="1">
        <f t="shared" si="110"/>
        <v>0.0127</v>
      </c>
      <c r="AP62" s="1">
        <f t="shared" si="111"/>
        <v>0.0059</v>
      </c>
      <c r="AQ62" s="1">
        <f t="shared" si="112"/>
        <v>0.0018</v>
      </c>
      <c r="AR62" s="1">
        <f t="shared" si="113"/>
        <v>0.0126</v>
      </c>
      <c r="AS62" s="1">
        <f t="shared" si="114"/>
        <v>0.0341</v>
      </c>
      <c r="AT62" s="1">
        <f t="shared" si="115"/>
        <v>0.3227</v>
      </c>
      <c r="AU62" s="1">
        <f t="shared" si="116"/>
        <v>0.0037</v>
      </c>
      <c r="AV62" s="1">
        <f t="shared" si="117"/>
        <v>0.0036</v>
      </c>
      <c r="AW62" s="4">
        <f t="shared" si="118"/>
        <v>0.0235</v>
      </c>
      <c r="BA62" s="1">
        <f t="shared" si="128"/>
        <v>0.00203896951855119</v>
      </c>
      <c r="BB62" s="1">
        <f t="shared" si="2"/>
        <v>0.00420659229493916</v>
      </c>
      <c r="BC62" s="1">
        <f t="shared" si="3"/>
        <v>0.00349296658560452</v>
      </c>
      <c r="BD62" s="1">
        <f t="shared" ref="BD62:BV62" si="175">AD62/SUM(AD$2:AD$91)</f>
        <v>0.0145383508865774</v>
      </c>
      <c r="BE62" s="1">
        <f t="shared" si="175"/>
        <v>0</v>
      </c>
      <c r="BF62" s="1">
        <f t="shared" si="175"/>
        <v>0.000999049684446502</v>
      </c>
      <c r="BG62" s="1">
        <f t="shared" si="175"/>
        <v>0.00171114583001201</v>
      </c>
      <c r="BH62" s="1">
        <f t="shared" si="175"/>
        <v>0.000806935507231383</v>
      </c>
      <c r="BI62" s="1">
        <f t="shared" si="175"/>
        <v>0.00135455861070912</v>
      </c>
      <c r="BJ62" s="1">
        <f t="shared" si="175"/>
        <v>0.00228576759807809</v>
      </c>
      <c r="BK62" s="1">
        <f t="shared" si="175"/>
        <v>0.00773456341155304</v>
      </c>
      <c r="BL62" s="1">
        <f t="shared" si="175"/>
        <v>0</v>
      </c>
      <c r="BM62" s="1">
        <f t="shared" si="175"/>
        <v>0.00736214018752869</v>
      </c>
      <c r="BN62" s="1">
        <f t="shared" si="175"/>
        <v>0.00560068423863256</v>
      </c>
      <c r="BO62" s="1">
        <f t="shared" si="175"/>
        <v>0.00163167767299638</v>
      </c>
      <c r="BP62" s="1">
        <f t="shared" si="175"/>
        <v>0.000955063455063455</v>
      </c>
      <c r="BQ62" s="1">
        <f t="shared" si="175"/>
        <v>0.000531004779043011</v>
      </c>
      <c r="BR62" s="1">
        <f t="shared" si="175"/>
        <v>0.00139414459271061</v>
      </c>
      <c r="BS62" s="1">
        <f t="shared" si="175"/>
        <v>0.00344907805435585</v>
      </c>
      <c r="BT62" s="1">
        <f t="shared" si="175"/>
        <v>0.0088816106348136</v>
      </c>
      <c r="BU62" s="1">
        <f t="shared" si="175"/>
        <v>0.000394132748170478</v>
      </c>
      <c r="BV62" s="1">
        <f t="shared" si="175"/>
        <v>0.000478487977989553</v>
      </c>
      <c r="CA62" s="1">
        <f t="shared" si="120"/>
        <v>-6.19531073671628</v>
      </c>
      <c r="CB62" s="1">
        <f t="shared" ref="CB62:CV62" si="176">IF(BB62=0,0,LN(BB62))</f>
        <v>-5.47110239018495</v>
      </c>
      <c r="CC62" s="1">
        <f t="shared" si="176"/>
        <v>-5.65700387930554</v>
      </c>
      <c r="CD62" s="1">
        <f t="shared" si="176"/>
        <v>-4.23096523238916</v>
      </c>
      <c r="CE62" s="1">
        <f t="shared" si="176"/>
        <v>0</v>
      </c>
      <c r="CF62" s="1">
        <f t="shared" si="176"/>
        <v>-6.90870604637174</v>
      </c>
      <c r="CG62" s="1">
        <f t="shared" si="176"/>
        <v>-6.37059205683786</v>
      </c>
      <c r="CH62" s="1">
        <f t="shared" si="176"/>
        <v>-7.12226680957757</v>
      </c>
      <c r="CI62" s="1">
        <f t="shared" si="176"/>
        <v>-6.60427962627221</v>
      </c>
      <c r="CJ62" s="1">
        <f t="shared" si="176"/>
        <v>-6.08105338191051</v>
      </c>
      <c r="CK62" s="1">
        <f t="shared" si="176"/>
        <v>-4.86205623978822</v>
      </c>
      <c r="CL62" s="1">
        <f t="shared" si="176"/>
        <v>0</v>
      </c>
      <c r="CM62" s="1">
        <f t="shared" si="176"/>
        <v>-4.9114046021625</v>
      </c>
      <c r="CN62" s="1">
        <f t="shared" si="176"/>
        <v>-5.18486650323497</v>
      </c>
      <c r="CO62" s="1">
        <f t="shared" si="176"/>
        <v>-6.4181465462382</v>
      </c>
      <c r="CP62" s="1">
        <f t="shared" si="176"/>
        <v>-6.9537327745983</v>
      </c>
      <c r="CQ62" s="1">
        <f t="shared" si="176"/>
        <v>-7.54073953668184</v>
      </c>
      <c r="CR62" s="1">
        <f t="shared" si="176"/>
        <v>-6.57547424697939</v>
      </c>
      <c r="CS62" s="1">
        <f t="shared" si="176"/>
        <v>-5.66964831427283</v>
      </c>
      <c r="CT62" s="1">
        <f t="shared" si="176"/>
        <v>-4.7237723606307</v>
      </c>
      <c r="CU62" s="1">
        <f t="shared" si="176"/>
        <v>-7.83882278112203</v>
      </c>
      <c r="CV62" s="1">
        <f t="shared" si="176"/>
        <v>-7.64487947175564</v>
      </c>
    </row>
    <row r="63" spans="1:100">
      <c r="A63" s="1" t="s">
        <v>37</v>
      </c>
      <c r="B63" s="1">
        <v>2021</v>
      </c>
      <c r="C63" s="1">
        <v>1241.45</v>
      </c>
      <c r="D63" s="1">
        <v>61102</v>
      </c>
      <c r="E63" s="2">
        <v>12</v>
      </c>
      <c r="F63" s="3">
        <v>42.3</v>
      </c>
      <c r="G63" s="3">
        <v>42.7</v>
      </c>
      <c r="H63" s="1">
        <v>50.38</v>
      </c>
      <c r="I63" s="1">
        <f t="shared" si="38"/>
        <v>2500</v>
      </c>
      <c r="J63" s="3">
        <v>0.6</v>
      </c>
      <c r="K63" s="1">
        <v>16.37</v>
      </c>
      <c r="L63" s="1">
        <v>661.58</v>
      </c>
      <c r="M63" s="1">
        <f t="shared" si="0"/>
        <v>32823</v>
      </c>
      <c r="N63" s="1">
        <v>33890</v>
      </c>
      <c r="O63" s="1">
        <v>19756</v>
      </c>
      <c r="P63" s="1">
        <v>89161</v>
      </c>
      <c r="Q63" s="1">
        <v>150.37</v>
      </c>
      <c r="R63" s="1">
        <v>8.76</v>
      </c>
      <c r="S63" s="1">
        <v>9.86</v>
      </c>
      <c r="T63" s="1">
        <v>2260</v>
      </c>
      <c r="U63" s="1">
        <v>201.56</v>
      </c>
      <c r="V63" s="1">
        <v>57.73</v>
      </c>
      <c r="W63" s="3">
        <v>0.8</v>
      </c>
      <c r="X63" s="1">
        <v>1.82</v>
      </c>
      <c r="AA63" s="1">
        <f t="shared" si="96"/>
        <v>0.0202</v>
      </c>
      <c r="AB63" s="1">
        <f t="shared" si="97"/>
        <v>0.2275</v>
      </c>
      <c r="AC63" s="1">
        <f t="shared" si="98"/>
        <v>0.8195</v>
      </c>
      <c r="AD63" s="1">
        <f t="shared" si="99"/>
        <v>0.7577</v>
      </c>
      <c r="AE63" s="1">
        <f t="shared" si="100"/>
        <v>0.0754</v>
      </c>
      <c r="AF63" s="1">
        <f t="shared" si="101"/>
        <v>0.0118</v>
      </c>
      <c r="AG63" s="1">
        <f t="shared" si="102"/>
        <v>0.1173</v>
      </c>
      <c r="AH63" s="1">
        <f t="shared" si="103"/>
        <v>0.0048</v>
      </c>
      <c r="AI63" s="1">
        <f t="shared" si="104"/>
        <v>0.0165</v>
      </c>
      <c r="AJ63" s="1">
        <f t="shared" si="105"/>
        <v>0.0238</v>
      </c>
      <c r="AK63" s="1">
        <f t="shared" si="106"/>
        <v>0.5057</v>
      </c>
      <c r="AL63" s="1">
        <f t="shared" si="107"/>
        <v>0.0978</v>
      </c>
      <c r="AM63" s="1">
        <f t="shared" si="108"/>
        <v>0.3771</v>
      </c>
      <c r="AN63" s="1">
        <f t="shared" si="109"/>
        <v>0.1669</v>
      </c>
      <c r="AO63" s="1">
        <f t="shared" si="110"/>
        <v>0.0164</v>
      </c>
      <c r="AP63" s="1">
        <f t="shared" si="111"/>
        <v>0.0078</v>
      </c>
      <c r="AQ63" s="1">
        <f t="shared" si="112"/>
        <v>0.0019</v>
      </c>
      <c r="AR63" s="1">
        <f t="shared" si="113"/>
        <v>0.0244</v>
      </c>
      <c r="AS63" s="1">
        <f t="shared" si="114"/>
        <v>0.0335</v>
      </c>
      <c r="AT63" s="1">
        <f t="shared" si="115"/>
        <v>0.3443</v>
      </c>
      <c r="AU63" s="1">
        <f t="shared" si="116"/>
        <v>0.0037</v>
      </c>
      <c r="AV63" s="1">
        <f t="shared" si="117"/>
        <v>0.0028</v>
      </c>
      <c r="AW63" s="4">
        <f t="shared" si="118"/>
        <v>0.0345</v>
      </c>
      <c r="BA63" s="1">
        <f t="shared" si="128"/>
        <v>0.00231388675700753</v>
      </c>
      <c r="BB63" s="1">
        <f t="shared" si="2"/>
        <v>0.00639278388175458</v>
      </c>
      <c r="BC63" s="1">
        <f t="shared" si="3"/>
        <v>0.0169177666483623</v>
      </c>
      <c r="BD63" s="1">
        <f t="shared" ref="BD63:BV63" si="177">AD63/SUM(AD$2:AD$91)</f>
        <v>0.0136926146261773</v>
      </c>
      <c r="BE63" s="1">
        <f t="shared" si="177"/>
        <v>0.00256952893105552</v>
      </c>
      <c r="BF63" s="1">
        <f t="shared" si="177"/>
        <v>0.00143765686298399</v>
      </c>
      <c r="BG63" s="1">
        <f t="shared" si="177"/>
        <v>0.00415563987288631</v>
      </c>
      <c r="BH63" s="1">
        <f t="shared" si="177"/>
        <v>0.000993151393515548</v>
      </c>
      <c r="BI63" s="1">
        <f t="shared" si="177"/>
        <v>0.00191027496382055</v>
      </c>
      <c r="BJ63" s="1">
        <f t="shared" si="177"/>
        <v>0.0027755749405234</v>
      </c>
      <c r="BK63" s="1">
        <f t="shared" si="177"/>
        <v>0.00967920989166635</v>
      </c>
      <c r="BL63" s="1">
        <f t="shared" si="177"/>
        <v>0.00371316731653423</v>
      </c>
      <c r="BM63" s="1">
        <f t="shared" si="177"/>
        <v>0.0098904989836732</v>
      </c>
      <c r="BN63" s="1">
        <f t="shared" si="177"/>
        <v>0.00724615658471143</v>
      </c>
      <c r="BO63" s="1">
        <f t="shared" si="177"/>
        <v>0.00210704833363312</v>
      </c>
      <c r="BP63" s="1">
        <f t="shared" si="177"/>
        <v>0.00126262626262626</v>
      </c>
      <c r="BQ63" s="1">
        <f t="shared" si="177"/>
        <v>0.000560505044545401</v>
      </c>
      <c r="BR63" s="1">
        <f t="shared" si="177"/>
        <v>0.00269977206842373</v>
      </c>
      <c r="BS63" s="1">
        <f t="shared" si="177"/>
        <v>0.00338839046395663</v>
      </c>
      <c r="BT63" s="1">
        <f t="shared" si="177"/>
        <v>0.00947610332062696</v>
      </c>
      <c r="BU63" s="1">
        <f t="shared" si="177"/>
        <v>0.000394132748170478</v>
      </c>
      <c r="BV63" s="1">
        <f t="shared" si="177"/>
        <v>0.000372157316214097</v>
      </c>
      <c r="CA63" s="1">
        <f t="shared" si="120"/>
        <v>-6.06882658960716</v>
      </c>
      <c r="CB63" s="1">
        <f t="shared" ref="CB63:CV63" si="178">IF(BB63=0,0,LN(BB63))</f>
        <v>-5.05258544321952</v>
      </c>
      <c r="CC63" s="1">
        <f t="shared" si="178"/>
        <v>-4.07939092829378</v>
      </c>
      <c r="CD63" s="1">
        <f t="shared" si="178"/>
        <v>-4.29089866988426</v>
      </c>
      <c r="CE63" s="1">
        <f t="shared" si="178"/>
        <v>-5.96403269218478</v>
      </c>
      <c r="CF63" s="1">
        <f t="shared" si="178"/>
        <v>-6.54474066917033</v>
      </c>
      <c r="CG63" s="1">
        <f t="shared" si="178"/>
        <v>-5.48328886183696</v>
      </c>
      <c r="CH63" s="1">
        <f t="shared" si="178"/>
        <v>-6.91462744479933</v>
      </c>
      <c r="CI63" s="1">
        <f t="shared" si="178"/>
        <v>-6.26050808716939</v>
      </c>
      <c r="CJ63" s="1">
        <f t="shared" si="178"/>
        <v>-5.88689736746955</v>
      </c>
      <c r="CK63" s="1">
        <f t="shared" si="178"/>
        <v>-4.63777500378671</v>
      </c>
      <c r="CL63" s="1">
        <f t="shared" si="178"/>
        <v>-5.59587004244475</v>
      </c>
      <c r="CM63" s="1">
        <f t="shared" si="178"/>
        <v>-4.61618068126603</v>
      </c>
      <c r="CN63" s="1">
        <f t="shared" si="178"/>
        <v>-4.92728407692885</v>
      </c>
      <c r="CO63" s="1">
        <f t="shared" si="178"/>
        <v>-6.16246720487259</v>
      </c>
      <c r="CP63" s="1">
        <f t="shared" si="178"/>
        <v>-6.67456139181443</v>
      </c>
      <c r="CQ63" s="1">
        <f t="shared" si="178"/>
        <v>-7.48667231541156</v>
      </c>
      <c r="CR63" s="1">
        <f t="shared" si="178"/>
        <v>-5.91458792863767</v>
      </c>
      <c r="CS63" s="1">
        <f t="shared" si="178"/>
        <v>-5.68740025973128</v>
      </c>
      <c r="CT63" s="1">
        <f t="shared" si="178"/>
        <v>-4.65898208934414</v>
      </c>
      <c r="CU63" s="1">
        <f t="shared" si="178"/>
        <v>-7.83882278112203</v>
      </c>
      <c r="CV63" s="1">
        <f t="shared" si="178"/>
        <v>-7.89619390003654</v>
      </c>
    </row>
    <row r="64" spans="1:100">
      <c r="A64" s="1" t="s">
        <v>37</v>
      </c>
      <c r="B64" s="1">
        <v>2022</v>
      </c>
      <c r="C64" s="1">
        <v>1328.78</v>
      </c>
      <c r="D64" s="1">
        <v>65956</v>
      </c>
      <c r="E64" s="1">
        <v>4.4</v>
      </c>
      <c r="F64" s="1">
        <v>44.07</v>
      </c>
      <c r="G64" s="3">
        <v>41.7</v>
      </c>
      <c r="H64" s="1">
        <v>50.61</v>
      </c>
      <c r="I64" s="1">
        <f t="shared" si="38"/>
        <v>2513</v>
      </c>
      <c r="J64" s="1">
        <v>0.24</v>
      </c>
      <c r="K64" s="1">
        <v>19.27</v>
      </c>
      <c r="L64" s="1">
        <v>689.69</v>
      </c>
      <c r="M64" s="1">
        <f t="shared" si="0"/>
        <v>34250</v>
      </c>
      <c r="N64" s="1">
        <v>35923</v>
      </c>
      <c r="O64" s="1">
        <v>21297</v>
      </c>
      <c r="P64" s="1">
        <v>102445</v>
      </c>
      <c r="Q64" s="1">
        <v>123.57</v>
      </c>
      <c r="R64" s="3">
        <v>7.5</v>
      </c>
      <c r="S64" s="1">
        <v>10.92</v>
      </c>
      <c r="T64" s="1">
        <v>2477</v>
      </c>
      <c r="U64" s="1">
        <v>201.37</v>
      </c>
      <c r="V64" s="1">
        <v>58.32</v>
      </c>
      <c r="W64" s="1">
        <v>0.82</v>
      </c>
      <c r="X64" s="3">
        <v>2.6</v>
      </c>
      <c r="Y64" s="3"/>
      <c r="Z64" s="3"/>
      <c r="AA64" s="1">
        <f t="shared" si="96"/>
        <v>0.0216</v>
      </c>
      <c r="AB64" s="1">
        <f t="shared" si="97"/>
        <v>0.2663</v>
      </c>
      <c r="AC64" s="1">
        <f t="shared" si="98"/>
        <v>0.5338</v>
      </c>
      <c r="AD64" s="1">
        <f t="shared" si="99"/>
        <v>0.8257</v>
      </c>
      <c r="AE64" s="1">
        <f t="shared" si="100"/>
        <v>0.0383</v>
      </c>
      <c r="AF64" s="1">
        <f t="shared" si="101"/>
        <v>0.0119</v>
      </c>
      <c r="AG64" s="1">
        <f t="shared" si="102"/>
        <v>0.1185</v>
      </c>
      <c r="AH64" s="1">
        <f t="shared" si="103"/>
        <v>0.0019</v>
      </c>
      <c r="AI64" s="1">
        <f t="shared" si="104"/>
        <v>0.0194</v>
      </c>
      <c r="AJ64" s="1">
        <f t="shared" si="105"/>
        <v>0.0248</v>
      </c>
      <c r="AK64" s="1">
        <f t="shared" si="106"/>
        <v>0.5295</v>
      </c>
      <c r="AL64" s="1">
        <f t="shared" si="107"/>
        <v>0.1581</v>
      </c>
      <c r="AM64" s="1">
        <f t="shared" si="108"/>
        <v>0.4468</v>
      </c>
      <c r="AN64" s="1">
        <f t="shared" si="109"/>
        <v>0.221</v>
      </c>
      <c r="AO64" s="1">
        <f t="shared" si="110"/>
        <v>0.0135</v>
      </c>
      <c r="AP64" s="1">
        <f t="shared" si="111"/>
        <v>0.0067</v>
      </c>
      <c r="AQ64" s="1">
        <f t="shared" si="112"/>
        <v>0.0022</v>
      </c>
      <c r="AR64" s="1">
        <f t="shared" si="113"/>
        <v>0.0269</v>
      </c>
      <c r="AS64" s="1">
        <f t="shared" si="114"/>
        <v>0.0335</v>
      </c>
      <c r="AT64" s="1">
        <f t="shared" si="115"/>
        <v>0.3585</v>
      </c>
      <c r="AU64" s="1">
        <f t="shared" si="116"/>
        <v>0.0038</v>
      </c>
      <c r="AV64" s="1">
        <f t="shared" si="117"/>
        <v>0.0046</v>
      </c>
      <c r="AW64" s="4">
        <f t="shared" si="118"/>
        <v>0.0351</v>
      </c>
      <c r="BA64" s="1">
        <f t="shared" si="128"/>
        <v>0.00247425514610706</v>
      </c>
      <c r="BB64" s="1">
        <f t="shared" si="2"/>
        <v>0.0074830696602692</v>
      </c>
      <c r="BC64" s="1">
        <f t="shared" si="3"/>
        <v>0.0110197728333079</v>
      </c>
      <c r="BD64" s="1">
        <f t="shared" ref="BD64:BV64" si="179">AD64/SUM(AD$2:AD$91)</f>
        <v>0.0149214621840235</v>
      </c>
      <c r="BE64" s="1">
        <f t="shared" si="179"/>
        <v>0.00130521164535048</v>
      </c>
      <c r="BF64" s="1">
        <f t="shared" si="179"/>
        <v>0.00144984039572114</v>
      </c>
      <c r="BG64" s="1">
        <f t="shared" si="179"/>
        <v>0.00419815281276238</v>
      </c>
      <c r="BH64" s="1">
        <f t="shared" si="179"/>
        <v>0.000393122426599904</v>
      </c>
      <c r="BI64" s="1">
        <f t="shared" si="179"/>
        <v>0.00224602026049204</v>
      </c>
      <c r="BJ64" s="1">
        <f t="shared" si="179"/>
        <v>0.00289219573634371</v>
      </c>
      <c r="BK64" s="1">
        <f t="shared" si="179"/>
        <v>0.0101347471576771</v>
      </c>
      <c r="BL64" s="1">
        <f t="shared" si="179"/>
        <v>0.00600257415893723</v>
      </c>
      <c r="BM64" s="1">
        <f t="shared" si="179"/>
        <v>0.011718575831093</v>
      </c>
      <c r="BN64" s="1">
        <f t="shared" si="179"/>
        <v>0.00959497067238602</v>
      </c>
      <c r="BO64" s="1">
        <f t="shared" si="179"/>
        <v>0.00173446051853946</v>
      </c>
      <c r="BP64" s="1">
        <f t="shared" si="179"/>
        <v>0.00108456358456358</v>
      </c>
      <c r="BQ64" s="1">
        <f t="shared" si="179"/>
        <v>0.00064900584105257</v>
      </c>
      <c r="BR64" s="1">
        <f t="shared" si="179"/>
        <v>0.00297638805904092</v>
      </c>
      <c r="BS64" s="1">
        <f t="shared" si="179"/>
        <v>0.00338839046395663</v>
      </c>
      <c r="BT64" s="1">
        <f t="shared" si="179"/>
        <v>0.00986692721593019</v>
      </c>
      <c r="BU64" s="1">
        <f t="shared" si="179"/>
        <v>0.000404784984607518</v>
      </c>
      <c r="BV64" s="1">
        <f t="shared" si="179"/>
        <v>0.000611401305208873</v>
      </c>
      <c r="CA64" s="1">
        <f t="shared" si="120"/>
        <v>-6.0018158793242</v>
      </c>
      <c r="CB64" s="1">
        <f t="shared" ref="CB64:CV64" si="180">IF(BB64=0,0,LN(BB64))</f>
        <v>-4.89511218879064</v>
      </c>
      <c r="CC64" s="1">
        <f t="shared" si="180"/>
        <v>-4.50806408950724</v>
      </c>
      <c r="CD64" s="1">
        <f t="shared" si="180"/>
        <v>-4.20495468739821</v>
      </c>
      <c r="CE64" s="1">
        <f t="shared" si="180"/>
        <v>-6.64139007101209</v>
      </c>
      <c r="CF64" s="1">
        <f t="shared" si="180"/>
        <v>-6.53630180052446</v>
      </c>
      <c r="CG64" s="1">
        <f t="shared" si="180"/>
        <v>-5.4731106569212</v>
      </c>
      <c r="CH64" s="1">
        <f t="shared" si="180"/>
        <v>-7.84138947654078</v>
      </c>
      <c r="CI64" s="1">
        <f t="shared" si="180"/>
        <v>-6.09859540200664</v>
      </c>
      <c r="CJ64" s="1">
        <f t="shared" si="180"/>
        <v>-5.84573929497604</v>
      </c>
      <c r="CK64" s="1">
        <f t="shared" si="180"/>
        <v>-4.59178544683119</v>
      </c>
      <c r="CL64" s="1">
        <f t="shared" si="180"/>
        <v>-5.11556687527009</v>
      </c>
      <c r="CM64" s="1">
        <f t="shared" si="180"/>
        <v>-4.44658001833529</v>
      </c>
      <c r="CN64" s="1">
        <f t="shared" si="180"/>
        <v>-4.64651620607889</v>
      </c>
      <c r="CO64" s="1">
        <f t="shared" si="180"/>
        <v>-6.35705885425836</v>
      </c>
      <c r="CP64" s="1">
        <f t="shared" si="180"/>
        <v>-6.82657759911305</v>
      </c>
      <c r="CQ64" s="1">
        <f t="shared" si="180"/>
        <v>-7.34006884121968</v>
      </c>
      <c r="CR64" s="1">
        <f t="shared" si="180"/>
        <v>-5.81704477432903</v>
      </c>
      <c r="CS64" s="1">
        <f t="shared" si="180"/>
        <v>-5.68740025973128</v>
      </c>
      <c r="CT64" s="1">
        <f t="shared" si="180"/>
        <v>-4.61856679964894</v>
      </c>
      <c r="CU64" s="1">
        <f t="shared" si="180"/>
        <v>-7.81215453403987</v>
      </c>
      <c r="CV64" s="1">
        <f t="shared" si="180"/>
        <v>-7.39975701372265</v>
      </c>
    </row>
    <row r="65" spans="1:100">
      <c r="A65" s="1" t="s">
        <v>37</v>
      </c>
      <c r="B65" s="1">
        <v>2023</v>
      </c>
      <c r="C65" s="1">
        <v>1330.85</v>
      </c>
      <c r="D65" s="1">
        <v>66254</v>
      </c>
      <c r="E65" s="1">
        <v>4.8</v>
      </c>
      <c r="F65" s="1">
        <v>41.42</v>
      </c>
      <c r="G65" s="1">
        <v>44.27</v>
      </c>
      <c r="H65" s="1">
        <v>61.09</v>
      </c>
      <c r="I65" s="1">
        <f t="shared" si="38"/>
        <v>3049</v>
      </c>
      <c r="J65" s="1">
        <v>0.13</v>
      </c>
      <c r="K65" s="1">
        <v>16.32</v>
      </c>
      <c r="L65" s="1">
        <v>757.91</v>
      </c>
      <c r="M65" s="1">
        <f t="shared" si="0"/>
        <v>37826</v>
      </c>
      <c r="N65" s="1">
        <v>37684</v>
      </c>
      <c r="O65" s="1">
        <v>23012</v>
      </c>
      <c r="P65" s="1">
        <v>113413</v>
      </c>
      <c r="Q65" s="1">
        <v>129.33</v>
      </c>
      <c r="R65" s="1">
        <v>7.69</v>
      </c>
      <c r="S65" s="1">
        <v>11.57</v>
      </c>
      <c r="T65" s="1">
        <v>2999</v>
      </c>
      <c r="U65" s="1">
        <v>200.37</v>
      </c>
      <c r="V65" s="1">
        <v>59.12</v>
      </c>
      <c r="W65" s="3">
        <v>0.9</v>
      </c>
      <c r="X65" s="1">
        <v>3.01</v>
      </c>
      <c r="AA65" s="1">
        <f t="shared" si="96"/>
        <v>0.0217</v>
      </c>
      <c r="AB65" s="1">
        <f t="shared" si="97"/>
        <v>0.2687</v>
      </c>
      <c r="AC65" s="1">
        <f t="shared" si="98"/>
        <v>0.5489</v>
      </c>
      <c r="AD65" s="1">
        <f t="shared" si="99"/>
        <v>0.7239</v>
      </c>
      <c r="AE65" s="1">
        <f t="shared" si="100"/>
        <v>0.1337</v>
      </c>
      <c r="AF65" s="1">
        <f t="shared" si="101"/>
        <v>0.0146</v>
      </c>
      <c r="AG65" s="1">
        <f t="shared" si="102"/>
        <v>0.1679</v>
      </c>
      <c r="AH65" s="1">
        <f t="shared" si="103"/>
        <v>0.001</v>
      </c>
      <c r="AI65" s="1">
        <f t="shared" si="104"/>
        <v>0.0165</v>
      </c>
      <c r="AJ65" s="1">
        <f t="shared" si="105"/>
        <v>0.0273</v>
      </c>
      <c r="AK65" s="1">
        <f t="shared" si="106"/>
        <v>0.5891</v>
      </c>
      <c r="AL65" s="1">
        <f t="shared" si="107"/>
        <v>0.2102</v>
      </c>
      <c r="AM65" s="1">
        <f t="shared" si="108"/>
        <v>0.5244</v>
      </c>
      <c r="AN65" s="1">
        <f t="shared" si="109"/>
        <v>0.2656</v>
      </c>
      <c r="AO65" s="1">
        <f t="shared" si="110"/>
        <v>0.0141</v>
      </c>
      <c r="AP65" s="1">
        <f t="shared" si="111"/>
        <v>0.0069</v>
      </c>
      <c r="AQ65" s="1">
        <f t="shared" si="112"/>
        <v>0.0023</v>
      </c>
      <c r="AR65" s="1">
        <f t="shared" si="113"/>
        <v>0.0329</v>
      </c>
      <c r="AS65" s="1">
        <f t="shared" si="114"/>
        <v>0.0333</v>
      </c>
      <c r="AT65" s="1">
        <f t="shared" si="115"/>
        <v>0.3777</v>
      </c>
      <c r="AU65" s="1">
        <f t="shared" si="116"/>
        <v>0.0042</v>
      </c>
      <c r="AV65" s="1">
        <f t="shared" si="117"/>
        <v>0.0056</v>
      </c>
      <c r="AW65" s="4">
        <f t="shared" si="118"/>
        <v>0.0391</v>
      </c>
      <c r="BA65" s="1">
        <f t="shared" si="128"/>
        <v>0.00248571003104274</v>
      </c>
      <c r="BB65" s="1">
        <f t="shared" si="2"/>
        <v>0.0075505100177031</v>
      </c>
      <c r="BC65" s="1">
        <f t="shared" si="3"/>
        <v>0.0113314973926615</v>
      </c>
      <c r="BD65" s="1">
        <f t="shared" ref="BD65:BV65" si="181">AD65/SUM(AD$2:AD$91)</f>
        <v>0.0130818051047773</v>
      </c>
      <c r="BE65" s="1">
        <f t="shared" si="181"/>
        <v>0.00455631323716343</v>
      </c>
      <c r="BF65" s="1">
        <f t="shared" si="181"/>
        <v>0.00177879577962426</v>
      </c>
      <c r="BG65" s="1">
        <f t="shared" si="181"/>
        <v>0.00594826883766079</v>
      </c>
      <c r="BH65" s="1">
        <f t="shared" si="181"/>
        <v>0.000206906540315739</v>
      </c>
      <c r="BI65" s="1">
        <f t="shared" si="181"/>
        <v>0.00191027496382055</v>
      </c>
      <c r="BJ65" s="1">
        <f t="shared" si="181"/>
        <v>0.00318374772589448</v>
      </c>
      <c r="BK65" s="1">
        <f t="shared" si="181"/>
        <v>0.0112755043448302</v>
      </c>
      <c r="BL65" s="1">
        <f t="shared" si="181"/>
        <v>0.00798065204433021</v>
      </c>
      <c r="BM65" s="1">
        <f t="shared" si="181"/>
        <v>0.0137538522064127</v>
      </c>
      <c r="BN65" s="1">
        <f t="shared" si="181"/>
        <v>0.0115313312696187</v>
      </c>
      <c r="BO65" s="1">
        <f t="shared" si="181"/>
        <v>0.00181154765269677</v>
      </c>
      <c r="BP65" s="1">
        <f t="shared" si="181"/>
        <v>0.00111693861693862</v>
      </c>
      <c r="BQ65" s="1">
        <f t="shared" si="181"/>
        <v>0.000678506106554959</v>
      </c>
      <c r="BR65" s="1">
        <f t="shared" si="181"/>
        <v>0.00364026643652216</v>
      </c>
      <c r="BS65" s="1">
        <f t="shared" si="181"/>
        <v>0.00336816126715689</v>
      </c>
      <c r="BT65" s="1">
        <f t="shared" si="181"/>
        <v>0.0103953651588754</v>
      </c>
      <c r="BU65" s="1">
        <f t="shared" si="181"/>
        <v>0.000447393930355678</v>
      </c>
      <c r="BV65" s="1">
        <f t="shared" si="181"/>
        <v>0.000744314632428194</v>
      </c>
      <c r="CA65" s="1">
        <f t="shared" si="120"/>
        <v>-5.99719693346791</v>
      </c>
      <c r="CB65" s="1">
        <f t="shared" ref="CB65:CV65" si="182">IF(BB65=0,0,LN(BB65))</f>
        <v>-4.88614016598908</v>
      </c>
      <c r="CC65" s="1">
        <f t="shared" si="182"/>
        <v>-4.48016905092182</v>
      </c>
      <c r="CD65" s="1">
        <f t="shared" si="182"/>
        <v>-4.3365329375225</v>
      </c>
      <c r="CE65" s="1">
        <f t="shared" si="182"/>
        <v>-5.3912414830908</v>
      </c>
      <c r="CF65" s="1">
        <f t="shared" si="182"/>
        <v>-6.33181867192766</v>
      </c>
      <c r="CG65" s="1">
        <f t="shared" si="182"/>
        <v>-5.12465505341289</v>
      </c>
      <c r="CH65" s="1">
        <f t="shared" si="182"/>
        <v>-8.48324336271317</v>
      </c>
      <c r="CI65" s="1">
        <f t="shared" si="182"/>
        <v>-6.26050808716939</v>
      </c>
      <c r="CJ65" s="1">
        <f t="shared" si="182"/>
        <v>-5.74969624595607</v>
      </c>
      <c r="CK65" s="1">
        <f t="shared" si="182"/>
        <v>-4.48512266334501</v>
      </c>
      <c r="CL65" s="1">
        <f t="shared" si="182"/>
        <v>-4.83073516104267</v>
      </c>
      <c r="CM65" s="1">
        <f t="shared" si="182"/>
        <v>-4.28643633364079</v>
      </c>
      <c r="CN65" s="1">
        <f t="shared" si="182"/>
        <v>-4.46268748999436</v>
      </c>
      <c r="CO65" s="1">
        <f t="shared" si="182"/>
        <v>-6.31357374231862</v>
      </c>
      <c r="CP65" s="1">
        <f t="shared" si="182"/>
        <v>-6.79716371390676</v>
      </c>
      <c r="CQ65" s="1">
        <f t="shared" si="182"/>
        <v>-7.29561707864885</v>
      </c>
      <c r="CR65" s="1">
        <f t="shared" si="182"/>
        <v>-5.6156984031655</v>
      </c>
      <c r="CS65" s="1">
        <f t="shared" si="182"/>
        <v>-5.6933883015759</v>
      </c>
      <c r="CT65" s="1">
        <f t="shared" si="182"/>
        <v>-4.5663952299702</v>
      </c>
      <c r="CU65" s="1">
        <f t="shared" si="182"/>
        <v>-7.71207107548289</v>
      </c>
      <c r="CV65" s="1">
        <f t="shared" si="182"/>
        <v>-7.2030467194766</v>
      </c>
    </row>
    <row r="66" spans="1:100">
      <c r="A66" s="1" t="s">
        <v>37</v>
      </c>
      <c r="B66" s="1">
        <v>2024</v>
      </c>
      <c r="C66" s="1">
        <v>1442.35</v>
      </c>
      <c r="D66" s="1">
        <v>71981</v>
      </c>
      <c r="E66" s="1">
        <v>6.1</v>
      </c>
      <c r="F66" s="1">
        <v>38.53</v>
      </c>
      <c r="G66" s="1">
        <v>47.37</v>
      </c>
      <c r="H66" s="3">
        <v>66.9</v>
      </c>
      <c r="I66" s="1">
        <f t="shared" si="38"/>
        <v>3338</v>
      </c>
      <c r="J66" s="3">
        <v>0.1</v>
      </c>
      <c r="K66" s="1">
        <v>11.09</v>
      </c>
      <c r="L66" s="3">
        <v>795.7</v>
      </c>
      <c r="M66" s="1">
        <f t="shared" ref="M66:M91" si="183">ROUND(L66/U66*10000,0)</f>
        <v>39708</v>
      </c>
      <c r="N66" s="1">
        <v>39459</v>
      </c>
      <c r="O66" s="1">
        <v>24257</v>
      </c>
      <c r="P66" s="1">
        <v>124292</v>
      </c>
      <c r="Q66" s="1">
        <v>136.53</v>
      </c>
      <c r="R66" s="1">
        <v>7.87</v>
      </c>
      <c r="S66" s="1">
        <v>14.05</v>
      </c>
      <c r="T66" s="1">
        <v>3356</v>
      </c>
      <c r="U66" s="1">
        <v>200.39</v>
      </c>
      <c r="V66" s="1">
        <v>60.07</v>
      </c>
      <c r="W66" s="1">
        <v>0.91</v>
      </c>
      <c r="X66" s="1">
        <v>5.34</v>
      </c>
      <c r="AA66" s="1">
        <f t="shared" si="96"/>
        <v>0.0235</v>
      </c>
      <c r="AB66" s="1">
        <f t="shared" si="97"/>
        <v>0.3144</v>
      </c>
      <c r="AC66" s="1">
        <f t="shared" si="98"/>
        <v>0.5977</v>
      </c>
      <c r="AD66" s="1">
        <f t="shared" si="99"/>
        <v>0.6129</v>
      </c>
      <c r="AE66" s="1">
        <f t="shared" si="100"/>
        <v>0.2489</v>
      </c>
      <c r="AF66" s="1">
        <f t="shared" si="101"/>
        <v>0.016</v>
      </c>
      <c r="AG66" s="1">
        <f t="shared" si="102"/>
        <v>0.1945</v>
      </c>
      <c r="AH66" s="1">
        <f t="shared" si="103"/>
        <v>0.0008</v>
      </c>
      <c r="AI66" s="1">
        <f t="shared" si="104"/>
        <v>0.0112</v>
      </c>
      <c r="AJ66" s="1">
        <f t="shared" si="105"/>
        <v>0.0287</v>
      </c>
      <c r="AK66" s="1">
        <f t="shared" si="106"/>
        <v>0.6205</v>
      </c>
      <c r="AL66" s="1">
        <f t="shared" si="107"/>
        <v>0.2628</v>
      </c>
      <c r="AM66" s="1">
        <f t="shared" si="108"/>
        <v>0.5807</v>
      </c>
      <c r="AN66" s="1">
        <f t="shared" si="109"/>
        <v>0.3098</v>
      </c>
      <c r="AO66" s="1">
        <f t="shared" si="110"/>
        <v>0.0149</v>
      </c>
      <c r="AP66" s="1">
        <f t="shared" si="111"/>
        <v>0.007</v>
      </c>
      <c r="AQ66" s="1">
        <f t="shared" si="112"/>
        <v>0.0028</v>
      </c>
      <c r="AR66" s="1">
        <f t="shared" si="113"/>
        <v>0.037</v>
      </c>
      <c r="AS66" s="1">
        <f t="shared" si="114"/>
        <v>0.0333</v>
      </c>
      <c r="AT66" s="1">
        <f t="shared" si="115"/>
        <v>0.4006</v>
      </c>
      <c r="AU66" s="1">
        <f t="shared" si="116"/>
        <v>0.0042</v>
      </c>
      <c r="AV66" s="1">
        <f t="shared" si="117"/>
        <v>0.0109</v>
      </c>
      <c r="AW66" s="4">
        <f t="shared" si="118"/>
        <v>0.0436</v>
      </c>
      <c r="BA66" s="1">
        <f t="shared" si="128"/>
        <v>0.00269189795988499</v>
      </c>
      <c r="BB66" s="1">
        <f t="shared" ref="BB66:BB91" si="184">AB66/SUM(AB$2:AB$91)</f>
        <v>0.00883468682384017</v>
      </c>
      <c r="BC66" s="1">
        <f t="shared" ref="BC66:BC91" si="185">AC66/SUM(AC$2:AC$91)</f>
        <v>0.0123389251076585</v>
      </c>
      <c r="BD66" s="1">
        <f t="shared" ref="BD66:BV66" si="186">AD66/SUM(AD$2:AD$91)</f>
        <v>0.0110758921794696</v>
      </c>
      <c r="BE66" s="1">
        <f t="shared" si="186"/>
        <v>0.00848217176312624</v>
      </c>
      <c r="BF66" s="1">
        <f t="shared" si="186"/>
        <v>0.00194936523794439</v>
      </c>
      <c r="BG66" s="1">
        <f t="shared" si="186"/>
        <v>0.00689063900491378</v>
      </c>
      <c r="BH66" s="1">
        <f t="shared" si="186"/>
        <v>0.000165525232252591</v>
      </c>
      <c r="BI66" s="1">
        <f t="shared" si="186"/>
        <v>0.00129667149059334</v>
      </c>
      <c r="BJ66" s="1">
        <f t="shared" si="186"/>
        <v>0.00334701684004292</v>
      </c>
      <c r="BK66" s="1">
        <f t="shared" si="186"/>
        <v>0.0118765072924243</v>
      </c>
      <c r="BL66" s="1">
        <f t="shared" si="186"/>
        <v>0.0099777134027116</v>
      </c>
      <c r="BM66" s="1">
        <f t="shared" si="186"/>
        <v>0.0152304766900531</v>
      </c>
      <c r="BN66" s="1">
        <f t="shared" si="186"/>
        <v>0.0134503254040959</v>
      </c>
      <c r="BO66" s="1">
        <f t="shared" si="186"/>
        <v>0.00191433049823984</v>
      </c>
      <c r="BP66" s="1">
        <f t="shared" si="186"/>
        <v>0.00113312613312613</v>
      </c>
      <c r="BQ66" s="1">
        <f t="shared" si="186"/>
        <v>0.000826007434066907</v>
      </c>
      <c r="BR66" s="1">
        <f t="shared" si="186"/>
        <v>0.00409391666113434</v>
      </c>
      <c r="BS66" s="1">
        <f t="shared" si="186"/>
        <v>0.00336816126715689</v>
      </c>
      <c r="BT66" s="1">
        <f t="shared" si="186"/>
        <v>0.0110256374970757</v>
      </c>
      <c r="BU66" s="1">
        <f t="shared" si="186"/>
        <v>0.000447393930355678</v>
      </c>
      <c r="BV66" s="1">
        <f t="shared" si="186"/>
        <v>0.00144875526669059</v>
      </c>
      <c r="CA66" s="1">
        <f t="shared" si="120"/>
        <v>-5.91750877286421</v>
      </c>
      <c r="CB66" s="1">
        <f t="shared" ref="CB66:CV66" si="187">IF(BB66=0,0,LN(BB66))</f>
        <v>-4.72906962105548</v>
      </c>
      <c r="CC66" s="1">
        <f t="shared" si="187"/>
        <v>-4.39499637064746</v>
      </c>
      <c r="CD66" s="1">
        <f t="shared" si="187"/>
        <v>-4.50298440832991</v>
      </c>
      <c r="CE66" s="1">
        <f t="shared" si="187"/>
        <v>-4.76978875782515</v>
      </c>
      <c r="CF66" s="1">
        <f t="shared" si="187"/>
        <v>-6.24025147840217</v>
      </c>
      <c r="CG66" s="1">
        <f t="shared" si="187"/>
        <v>-4.97759145443788</v>
      </c>
      <c r="CH66" s="1">
        <f t="shared" si="187"/>
        <v>-8.70638691402738</v>
      </c>
      <c r="CI66" s="1">
        <f t="shared" si="187"/>
        <v>-6.64795468977488</v>
      </c>
      <c r="CJ66" s="1">
        <f t="shared" si="187"/>
        <v>-5.6996858253814</v>
      </c>
      <c r="CK66" s="1">
        <f t="shared" si="187"/>
        <v>-4.43319300722799</v>
      </c>
      <c r="CL66" s="1">
        <f t="shared" si="187"/>
        <v>-4.60740133287506</v>
      </c>
      <c r="CM66" s="1">
        <f t="shared" si="187"/>
        <v>-4.18445681315233</v>
      </c>
      <c r="CN66" s="1">
        <f t="shared" si="187"/>
        <v>-4.30875197961387</v>
      </c>
      <c r="CO66" s="1">
        <f t="shared" si="187"/>
        <v>-6.25838732675133</v>
      </c>
      <c r="CP66" s="1">
        <f t="shared" si="187"/>
        <v>-6.78277497645466</v>
      </c>
      <c r="CQ66" s="1">
        <f t="shared" si="187"/>
        <v>-7.0989067844028</v>
      </c>
      <c r="CR66" s="1">
        <f t="shared" si="187"/>
        <v>-5.4982531482926</v>
      </c>
      <c r="CS66" s="1">
        <f t="shared" si="187"/>
        <v>-5.6933883015759</v>
      </c>
      <c r="CT66" s="1">
        <f t="shared" si="187"/>
        <v>-4.5075320364569</v>
      </c>
      <c r="CU66" s="1">
        <f t="shared" si="187"/>
        <v>-7.71207107548289</v>
      </c>
      <c r="CV66" s="1">
        <f t="shared" si="187"/>
        <v>-6.5370505279826</v>
      </c>
    </row>
    <row r="67" spans="1:100">
      <c r="A67" s="1" t="s">
        <v>38</v>
      </c>
      <c r="B67" s="1">
        <v>2020</v>
      </c>
      <c r="C67" s="3">
        <v>1117.7</v>
      </c>
      <c r="D67" s="1">
        <v>32652</v>
      </c>
      <c r="E67" s="1">
        <v>-4.2</v>
      </c>
      <c r="F67" s="1">
        <v>22.57</v>
      </c>
      <c r="G67" s="1">
        <v>59.32</v>
      </c>
      <c r="H67" s="1">
        <v>57.65</v>
      </c>
      <c r="I67" s="1">
        <f t="shared" si="38"/>
        <v>1668</v>
      </c>
      <c r="J67" s="1">
        <v>0.35</v>
      </c>
      <c r="K67" s="1">
        <v>0.94</v>
      </c>
      <c r="L67" s="1">
        <v>650.85</v>
      </c>
      <c r="M67" s="1">
        <f t="shared" si="183"/>
        <v>18832</v>
      </c>
      <c r="N67" s="1">
        <v>30930</v>
      </c>
      <c r="O67" s="1">
        <v>11887</v>
      </c>
      <c r="P67" s="1">
        <v>48110</v>
      </c>
      <c r="Q67" s="1">
        <v>59.19</v>
      </c>
      <c r="R67" s="1">
        <v>12.21</v>
      </c>
      <c r="S67" s="1">
        <v>34.11</v>
      </c>
      <c r="T67" s="1">
        <v>3499</v>
      </c>
      <c r="U67" s="1">
        <v>345.61</v>
      </c>
      <c r="V67" s="1">
        <v>46.56</v>
      </c>
      <c r="W67" s="1">
        <v>4.49</v>
      </c>
      <c r="X67" s="1">
        <v>7.41</v>
      </c>
      <c r="AA67" s="1">
        <f t="shared" ref="AA67:AA91" si="188">ROUND((C67-MIN(C$2:C$91))/(MAX(C$2:C$91)-MIN(C$2:C$91)),4)</f>
        <v>0.0181</v>
      </c>
      <c r="AB67" s="1">
        <f t="shared" ref="AB67:AB91" si="189">ROUND((D67-MIN(D$2:D$91))/(MAX(D$2:D$91)-MIN(D$2:D$91)),4)</f>
        <v>0</v>
      </c>
      <c r="AC67" s="1">
        <f t="shared" ref="AC67:AC91" si="190">ROUND((E67-MIN(E$2:E$91))/(MAX(E$2:E$91)-MIN(E$2:E$91)),4)</f>
        <v>0.2105</v>
      </c>
      <c r="AD67" s="1">
        <f t="shared" ref="AD67:AD91" si="191">ROUND((F67-MIN(F$2:F$91))/(MAX(F$2:F$91)-MIN(F$2:F$91)),4)</f>
        <v>0</v>
      </c>
      <c r="AE67" s="1">
        <f t="shared" ref="AE67:AE91" si="192">ROUND((G67-MIN(G$2:G$91))/(MAX(G$2:G$91)-MIN(G$2:G$91)),4)</f>
        <v>0.6928</v>
      </c>
      <c r="AF67" s="1">
        <f t="shared" ref="AF67:AF91" si="193">ROUND((H67-MIN(H$2:H$91))/(MAX(H$2:H$91)-MIN(H$2:H$91)),4)</f>
        <v>0.0137</v>
      </c>
      <c r="AG67" s="1">
        <f t="shared" ref="AG67:AG91" si="194">ROUND((I67-MIN(I$2:I$91))/(MAX(I$2:I$91)-MIN(I$2:I$91)),4)</f>
        <v>0.0406</v>
      </c>
      <c r="AH67" s="1">
        <f t="shared" ref="AH67:AH91" si="195">ROUND((J67-MIN(J$2:J$91))/(MAX(J$2:J$91)-MIN(J$2:J$91)),4)</f>
        <v>0.0028</v>
      </c>
      <c r="AI67" s="1">
        <f t="shared" ref="AI67:AI91" si="196">ROUND((K67-MIN(K$2:K$91))/(MAX(K$2:K$91)-MIN(K$2:K$91)),4)</f>
        <v>0.0009</v>
      </c>
      <c r="AJ67" s="1">
        <f t="shared" ref="AJ67:AJ91" si="197">ROUND((L67-MIN(L$2:L$91))/(MAX(L$2:L$91)-MIN(L$2:L$91)),4)</f>
        <v>0.0234</v>
      </c>
      <c r="AK67" s="1">
        <f t="shared" ref="AK67:AK91" si="198">ROUND((M67-MIN(M$2:M$91))/(MAX(M$2:M$91)-MIN(M$2:M$91)),4)</f>
        <v>0.2727</v>
      </c>
      <c r="AL67" s="1">
        <f t="shared" ref="AL67:AL91" si="199">ROUND((N67-MIN(N$2:N$91))/(MAX(N$2:N$91)-MIN(N$2:N$91)),4)</f>
        <v>0.0102</v>
      </c>
      <c r="AM67" s="1">
        <f t="shared" ref="AM67:AM91" si="200">ROUND((O67-MIN(O$2:O$91))/(MAX(O$2:O$91)-MIN(O$2:O$91)),4)</f>
        <v>0.0213</v>
      </c>
      <c r="AN67" s="1">
        <f t="shared" ref="AN67:AN91" si="201">ROUND((P67-MIN(P$2:P$91))/(MAX(P$2:P$91)-MIN(P$2:P$91)),4)</f>
        <v>0</v>
      </c>
      <c r="AO67" s="1">
        <f t="shared" ref="AO67:AO91" si="202">ROUND((Q67-MIN(Q$2:Q$91))/(MAX(Q$2:Q$91)-MIN(Q$2:Q$91)),4)</f>
        <v>0.0064</v>
      </c>
      <c r="AP67" s="1">
        <f t="shared" ref="AP67:AP91" si="203">ROUND((R67-MIN(R$2:R$91))/(MAX(R$2:R$91)-MIN(R$2:R$91)),4)</f>
        <v>0.0109</v>
      </c>
      <c r="AQ67" s="1">
        <f t="shared" ref="AQ67:AQ91" si="204">ROUND((S67-MIN(S$2:S$91))/(MAX(S$2:S$91)-MIN(S$2:S$91)),4)</f>
        <v>0.0071</v>
      </c>
      <c r="AR67" s="1">
        <f t="shared" ref="AR67:AR91" si="205">ROUND((T67-MIN(T$2:T$91))/(MAX(T$2:T$91)-MIN(T$2:T$91)),4)</f>
        <v>0.0386</v>
      </c>
      <c r="AS67" s="1">
        <f t="shared" ref="AS67:AS91" si="206">ROUND((U67-MIN(U$2:U$91))/(MAX(U$2:U$91)-MIN(U$2:U$91)),4)</f>
        <v>0.0582</v>
      </c>
      <c r="AT67" s="1">
        <f t="shared" ref="AT67:AT91" si="207">ROUND((V67-MIN(V$2:V$91))/(MAX(V$2:V$91)-MIN(V$2:V$91)),4)</f>
        <v>0.0757</v>
      </c>
      <c r="AU67" s="1">
        <f t="shared" ref="AU67:AU91" si="208">ROUND((W67-MIN(W$2:W$91))/(MAX(W$2:W$91)-MIN(W$2:W$91)),4)</f>
        <v>0.0208</v>
      </c>
      <c r="AV67" s="1">
        <f t="shared" ref="AV67:AV91" si="209">ROUND((X67-MIN(X$2:X$91))/(MAX(X$2:X$91)-MIN(X$2:X$91)),4)</f>
        <v>0.0157</v>
      </c>
      <c r="AW67" s="4">
        <f t="shared" ref="AW67:AW91" si="210">ROUND(AA67*$AA$95+AB67*$AB$95+AC67*$AC$95+AD67*$AD$95+AE67*$AE$95+AF67*$AF$95+AG67*$AG$95+AH67*$AH$95+AI67*$AI$95+AJ67*$AJ$95+AK67*$AK$95+AL67*$AL$95+AM67*$AM$95+AN67*$AN$95+AO67*$AO$95+AP67*$AP$95+AQ67*$AQ$95+AR67*$AR$95+AS67*$AS$95+AT67*$AT$95+AU67*$AU$95+AV67*$AV$95,4)</f>
        <v>0.027</v>
      </c>
      <c r="BA67" s="1">
        <f t="shared" si="128"/>
        <v>0.00207333417335823</v>
      </c>
      <c r="BB67" s="1">
        <f t="shared" si="184"/>
        <v>0</v>
      </c>
      <c r="BC67" s="1">
        <f t="shared" si="185"/>
        <v>0.00434556422145243</v>
      </c>
      <c r="BD67" s="1">
        <f t="shared" ref="BD67:BV67" si="211">AD67/SUM(AD$2:AD$91)</f>
        <v>0</v>
      </c>
      <c r="BE67" s="1">
        <f t="shared" si="211"/>
        <v>0.0236096769686374</v>
      </c>
      <c r="BF67" s="1">
        <f t="shared" si="211"/>
        <v>0.00166914398498989</v>
      </c>
      <c r="BG67" s="1">
        <f t="shared" si="211"/>
        <v>0.0014383544658072</v>
      </c>
      <c r="BH67" s="1">
        <f t="shared" si="211"/>
        <v>0.00057933831288407</v>
      </c>
      <c r="BI67" s="1">
        <f t="shared" si="211"/>
        <v>0.000104196816208394</v>
      </c>
      <c r="BJ67" s="1">
        <f t="shared" si="211"/>
        <v>0.00272892662219527</v>
      </c>
      <c r="BK67" s="1">
        <f t="shared" si="211"/>
        <v>0.00521953833786319</v>
      </c>
      <c r="BL67" s="1">
        <f t="shared" si="211"/>
        <v>0.000387262848963692</v>
      </c>
      <c r="BM67" s="1">
        <f t="shared" si="211"/>
        <v>0.000558651891679234</v>
      </c>
      <c r="BN67" s="1">
        <f t="shared" si="211"/>
        <v>0</v>
      </c>
      <c r="BO67" s="1">
        <f t="shared" si="211"/>
        <v>0.000822262764344631</v>
      </c>
      <c r="BP67" s="1">
        <f t="shared" si="211"/>
        <v>0.00176443926443926</v>
      </c>
      <c r="BQ67" s="1">
        <f t="shared" si="211"/>
        <v>0.00209451885066966</v>
      </c>
      <c r="BR67" s="1">
        <f t="shared" si="211"/>
        <v>0.00427095089512934</v>
      </c>
      <c r="BS67" s="1">
        <f t="shared" si="211"/>
        <v>0.00588669626872465</v>
      </c>
      <c r="BT67" s="1">
        <f t="shared" si="211"/>
        <v>0.00208347668129963</v>
      </c>
      <c r="BU67" s="1">
        <f t="shared" si="211"/>
        <v>0.00221566517890431</v>
      </c>
      <c r="BV67" s="1">
        <f t="shared" si="211"/>
        <v>0.00208673923734333</v>
      </c>
      <c r="CA67" s="1">
        <f t="shared" ref="CA67:CA91" si="212">IF(BA67=0,0,LN(BA67))</f>
        <v>-6.17859725574254</v>
      </c>
      <c r="CB67" s="1">
        <f t="shared" ref="CB67:CV67" si="213">IF(BB67=0,0,LN(BB67))</f>
        <v>0</v>
      </c>
      <c r="CC67" s="1">
        <f t="shared" si="213"/>
        <v>-5.43859967335523</v>
      </c>
      <c r="CD67" s="1">
        <f t="shared" si="213"/>
        <v>0</v>
      </c>
      <c r="CE67" s="1">
        <f t="shared" si="213"/>
        <v>-3.74609860995047</v>
      </c>
      <c r="CF67" s="1">
        <f t="shared" si="213"/>
        <v>-6.39544436780787</v>
      </c>
      <c r="CG67" s="1">
        <f t="shared" si="213"/>
        <v>-6.5442555508887</v>
      </c>
      <c r="CH67" s="1">
        <f t="shared" si="213"/>
        <v>-7.45362394553201</v>
      </c>
      <c r="CI67" s="1">
        <f t="shared" si="213"/>
        <v>-9.16922898373375</v>
      </c>
      <c r="CJ67" s="1">
        <f t="shared" si="213"/>
        <v>-5.90384692578332</v>
      </c>
      <c r="CK67" s="1">
        <f t="shared" si="213"/>
        <v>-5.25534632202111</v>
      </c>
      <c r="CL67" s="1">
        <f t="shared" si="213"/>
        <v>-7.85640689919529</v>
      </c>
      <c r="CM67" s="1">
        <f t="shared" si="213"/>
        <v>-7.48998401281496</v>
      </c>
      <c r="CN67" s="1">
        <f t="shared" si="213"/>
        <v>0</v>
      </c>
      <c r="CO67" s="1">
        <f t="shared" si="213"/>
        <v>-7.10345054933712</v>
      </c>
      <c r="CP67" s="1">
        <f t="shared" si="213"/>
        <v>-6.33992233627487</v>
      </c>
      <c r="CQ67" s="1">
        <f t="shared" si="213"/>
        <v>-6.16843141753669</v>
      </c>
      <c r="CR67" s="1">
        <f t="shared" si="213"/>
        <v>-5.45591878446604</v>
      </c>
      <c r="CS67" s="1">
        <f t="shared" si="213"/>
        <v>-5.1350603438249</v>
      </c>
      <c r="CT67" s="1">
        <f t="shared" si="213"/>
        <v>-6.17371729924521</v>
      </c>
      <c r="CU67" s="1">
        <f t="shared" si="213"/>
        <v>-6.11220261406494</v>
      </c>
      <c r="CV67" s="1">
        <f t="shared" si="213"/>
        <v>-6.17215260486344</v>
      </c>
    </row>
    <row r="68" spans="1:100">
      <c r="A68" s="1" t="s">
        <v>38</v>
      </c>
      <c r="B68" s="1">
        <v>2021</v>
      </c>
      <c r="C68" s="1">
        <v>1302.36</v>
      </c>
      <c r="D68" s="1">
        <v>38011</v>
      </c>
      <c r="E68" s="1">
        <v>11.7</v>
      </c>
      <c r="F68" s="1">
        <v>22.98</v>
      </c>
      <c r="G68" s="1">
        <v>59.78</v>
      </c>
      <c r="H68" s="1">
        <v>75.51</v>
      </c>
      <c r="I68" s="1">
        <f t="shared" si="38"/>
        <v>2223</v>
      </c>
      <c r="J68" s="1">
        <v>0.55</v>
      </c>
      <c r="K68" s="1">
        <v>1.38</v>
      </c>
      <c r="L68" s="1">
        <v>805.91</v>
      </c>
      <c r="M68" s="1">
        <f t="shared" si="183"/>
        <v>23728</v>
      </c>
      <c r="N68" s="1">
        <v>34054</v>
      </c>
      <c r="O68" s="1">
        <v>13307</v>
      </c>
      <c r="P68" s="1">
        <v>50885</v>
      </c>
      <c r="Q68" s="1">
        <v>77.03</v>
      </c>
      <c r="R68" s="1">
        <v>13.22</v>
      </c>
      <c r="S68" s="1">
        <v>35.89</v>
      </c>
      <c r="T68" s="1">
        <v>6682</v>
      </c>
      <c r="U68" s="1">
        <v>339.64</v>
      </c>
      <c r="V68" s="1">
        <v>47.66</v>
      </c>
      <c r="W68" s="1">
        <v>5.01</v>
      </c>
      <c r="X68" s="1">
        <v>5.73</v>
      </c>
      <c r="AA68" s="1">
        <f t="shared" si="188"/>
        <v>0.0212</v>
      </c>
      <c r="AB68" s="1">
        <f t="shared" si="189"/>
        <v>0.0428</v>
      </c>
      <c r="AC68" s="1">
        <f t="shared" si="190"/>
        <v>0.8083</v>
      </c>
      <c r="AD68" s="1">
        <f t="shared" si="191"/>
        <v>0.0157</v>
      </c>
      <c r="AE68" s="1">
        <f t="shared" si="192"/>
        <v>0.7099</v>
      </c>
      <c r="AF68" s="1">
        <f t="shared" si="193"/>
        <v>0.0182</v>
      </c>
      <c r="AG68" s="1">
        <f t="shared" si="194"/>
        <v>0.0917</v>
      </c>
      <c r="AH68" s="1">
        <f t="shared" si="195"/>
        <v>0.0044</v>
      </c>
      <c r="AI68" s="1">
        <f t="shared" si="196"/>
        <v>0.0014</v>
      </c>
      <c r="AJ68" s="1">
        <f t="shared" si="197"/>
        <v>0.0291</v>
      </c>
      <c r="AK68" s="1">
        <f t="shared" si="198"/>
        <v>0.3542</v>
      </c>
      <c r="AL68" s="1">
        <f t="shared" si="199"/>
        <v>0.1027</v>
      </c>
      <c r="AM68" s="1">
        <f t="shared" si="200"/>
        <v>0.0855</v>
      </c>
      <c r="AN68" s="1">
        <f t="shared" si="201"/>
        <v>0.0113</v>
      </c>
      <c r="AO68" s="1">
        <f t="shared" si="202"/>
        <v>0.0083</v>
      </c>
      <c r="AP68" s="1">
        <f t="shared" si="203"/>
        <v>0.0119</v>
      </c>
      <c r="AQ68" s="1">
        <f t="shared" si="204"/>
        <v>0.0075</v>
      </c>
      <c r="AR68" s="1">
        <f t="shared" si="205"/>
        <v>0.0751</v>
      </c>
      <c r="AS68" s="1">
        <f t="shared" si="206"/>
        <v>0.0572</v>
      </c>
      <c r="AT68" s="1">
        <f t="shared" si="207"/>
        <v>0.1022</v>
      </c>
      <c r="AU68" s="1">
        <f t="shared" si="208"/>
        <v>0.0232</v>
      </c>
      <c r="AV68" s="1">
        <f t="shared" si="209"/>
        <v>0.0118</v>
      </c>
      <c r="AW68" s="4">
        <f t="shared" si="210"/>
        <v>0.0369</v>
      </c>
      <c r="BA68" s="1">
        <f t="shared" si="128"/>
        <v>0.00242843560636433</v>
      </c>
      <c r="BB68" s="1">
        <f t="shared" si="184"/>
        <v>0.00120268637423778</v>
      </c>
      <c r="BC68" s="1">
        <f t="shared" si="185"/>
        <v>0.0166865537301663</v>
      </c>
      <c r="BD68" s="1">
        <f t="shared" ref="BD68:BV68" si="214">AD68/SUM(AD$2:AD$91)</f>
        <v>0.000283719215561547</v>
      </c>
      <c r="BE68" s="1">
        <f t="shared" si="214"/>
        <v>0.024192421593585</v>
      </c>
      <c r="BF68" s="1">
        <f t="shared" si="214"/>
        <v>0.00221740295816175</v>
      </c>
      <c r="BG68" s="1">
        <f t="shared" si="214"/>
        <v>0.00324869715553005</v>
      </c>
      <c r="BH68" s="1">
        <f t="shared" si="214"/>
        <v>0.000910388777389252</v>
      </c>
      <c r="BI68" s="1">
        <f t="shared" si="214"/>
        <v>0.000162083936324168</v>
      </c>
      <c r="BJ68" s="1">
        <f t="shared" si="214"/>
        <v>0.00339366515837104</v>
      </c>
      <c r="BK68" s="1">
        <f t="shared" si="214"/>
        <v>0.00677946637063125</v>
      </c>
      <c r="BL68" s="1">
        <f t="shared" si="214"/>
        <v>0.00389920535182071</v>
      </c>
      <c r="BM68" s="1">
        <f t="shared" si="214"/>
        <v>0.00224247590321946</v>
      </c>
      <c r="BN68" s="1">
        <f t="shared" si="214"/>
        <v>0.000490602572841457</v>
      </c>
      <c r="BO68" s="1">
        <f t="shared" si="214"/>
        <v>0.00106637202250944</v>
      </c>
      <c r="BP68" s="1">
        <f t="shared" si="214"/>
        <v>0.00192631442631443</v>
      </c>
      <c r="BQ68" s="1">
        <f t="shared" si="214"/>
        <v>0.00221251991267921</v>
      </c>
      <c r="BR68" s="1">
        <f t="shared" si="214"/>
        <v>0.00830954435814025</v>
      </c>
      <c r="BS68" s="1">
        <f t="shared" si="214"/>
        <v>0.00578555028472595</v>
      </c>
      <c r="BT68" s="1">
        <f t="shared" si="214"/>
        <v>0.00281283113380214</v>
      </c>
      <c r="BU68" s="1">
        <f t="shared" si="214"/>
        <v>0.00247131885339327</v>
      </c>
      <c r="BV68" s="1">
        <f t="shared" si="214"/>
        <v>0.00156837726118798</v>
      </c>
      <c r="CA68" s="1">
        <f t="shared" si="212"/>
        <v>-6.02050801233635</v>
      </c>
      <c r="CB68" s="1">
        <f t="shared" ref="CB68:CV68" si="215">IF(BB68=0,0,LN(BB68))</f>
        <v>-6.72319757902278</v>
      </c>
      <c r="CC68" s="1">
        <f t="shared" si="215"/>
        <v>-4.09315204973787</v>
      </c>
      <c r="CD68" s="1">
        <f t="shared" si="215"/>
        <v>-8.16752548646733</v>
      </c>
      <c r="CE68" s="1">
        <f t="shared" si="215"/>
        <v>-3.72171585215335</v>
      </c>
      <c r="CF68" s="1">
        <f t="shared" si="215"/>
        <v>-6.1114186065592</v>
      </c>
      <c r="CG68" s="1">
        <f t="shared" si="215"/>
        <v>-5.72950123823397</v>
      </c>
      <c r="CH68" s="1">
        <f t="shared" si="215"/>
        <v>-7.00163882178896</v>
      </c>
      <c r="CI68" s="1">
        <f t="shared" si="215"/>
        <v>-8.72739623145471</v>
      </c>
      <c r="CJ68" s="1">
        <f t="shared" si="215"/>
        <v>-5.68584477396953</v>
      </c>
      <c r="CK68" s="1">
        <f t="shared" si="215"/>
        <v>-4.99385688652391</v>
      </c>
      <c r="CL68" s="1">
        <f t="shared" si="215"/>
        <v>-5.54698250255101</v>
      </c>
      <c r="CM68" s="1">
        <f t="shared" si="215"/>
        <v>-6.10017470958762</v>
      </c>
      <c r="CN68" s="1">
        <f t="shared" si="215"/>
        <v>-7.61987618187835</v>
      </c>
      <c r="CO68" s="1">
        <f t="shared" si="215"/>
        <v>-6.84349302490019</v>
      </c>
      <c r="CP68" s="1">
        <f t="shared" si="215"/>
        <v>-6.25214672539249</v>
      </c>
      <c r="CQ68" s="1">
        <f t="shared" si="215"/>
        <v>-6.11362318104169</v>
      </c>
      <c r="CR68" s="1">
        <f t="shared" si="215"/>
        <v>-4.79035050216674</v>
      </c>
      <c r="CS68" s="1">
        <f t="shared" si="215"/>
        <v>-5.15239180017655</v>
      </c>
      <c r="CT68" s="1">
        <f t="shared" si="215"/>
        <v>-5.87356378191901</v>
      </c>
      <c r="CU68" s="1">
        <f t="shared" si="215"/>
        <v>-6.00300332209994</v>
      </c>
      <c r="CV68" s="1">
        <f t="shared" si="215"/>
        <v>-6.45771378574608</v>
      </c>
    </row>
    <row r="69" spans="1:100">
      <c r="A69" s="1" t="s">
        <v>38</v>
      </c>
      <c r="B69" s="1">
        <v>2022</v>
      </c>
      <c r="C69" s="3">
        <v>1402.2</v>
      </c>
      <c r="D69" s="1">
        <v>41248</v>
      </c>
      <c r="E69" s="1">
        <v>3.3</v>
      </c>
      <c r="F69" s="1">
        <v>26.48</v>
      </c>
      <c r="G69" s="1">
        <v>55.47</v>
      </c>
      <c r="H69" s="1">
        <v>76.81</v>
      </c>
      <c r="I69" s="1">
        <f t="shared" si="38"/>
        <v>2258</v>
      </c>
      <c r="J69" s="1">
        <v>0.18</v>
      </c>
      <c r="K69" s="1">
        <v>2.99</v>
      </c>
      <c r="L69" s="1">
        <v>840.62</v>
      </c>
      <c r="M69" s="1">
        <f t="shared" si="183"/>
        <v>24707</v>
      </c>
      <c r="N69" s="1">
        <v>35927</v>
      </c>
      <c r="O69" s="1">
        <v>14384</v>
      </c>
      <c r="P69" s="1">
        <v>58510</v>
      </c>
      <c r="Q69" s="1">
        <v>60.22</v>
      </c>
      <c r="R69" s="1">
        <v>11.22</v>
      </c>
      <c r="S69" s="1">
        <v>37.56</v>
      </c>
      <c r="T69" s="1">
        <v>6837</v>
      </c>
      <c r="U69" s="1">
        <v>340.24</v>
      </c>
      <c r="V69" s="1">
        <v>48.38</v>
      </c>
      <c r="W69" s="1">
        <v>5.49</v>
      </c>
      <c r="X69" s="3">
        <v>5.5</v>
      </c>
      <c r="Y69" s="3"/>
      <c r="Z69" s="3"/>
      <c r="AA69" s="1">
        <f t="shared" si="188"/>
        <v>0.0229</v>
      </c>
      <c r="AB69" s="1">
        <f t="shared" si="189"/>
        <v>0.0687</v>
      </c>
      <c r="AC69" s="1">
        <f t="shared" si="190"/>
        <v>0.4925</v>
      </c>
      <c r="AD69" s="1">
        <f t="shared" si="191"/>
        <v>0.1502</v>
      </c>
      <c r="AE69" s="1">
        <f t="shared" si="192"/>
        <v>0.5498</v>
      </c>
      <c r="AF69" s="1">
        <f t="shared" si="193"/>
        <v>0.0186</v>
      </c>
      <c r="AG69" s="1">
        <f t="shared" si="194"/>
        <v>0.095</v>
      </c>
      <c r="AH69" s="1">
        <f t="shared" si="195"/>
        <v>0.0014</v>
      </c>
      <c r="AI69" s="1">
        <f t="shared" si="196"/>
        <v>0.003</v>
      </c>
      <c r="AJ69" s="1">
        <f t="shared" si="197"/>
        <v>0.0303</v>
      </c>
      <c r="AK69" s="1">
        <f t="shared" si="198"/>
        <v>0.3705</v>
      </c>
      <c r="AL69" s="1">
        <f t="shared" si="199"/>
        <v>0.1582</v>
      </c>
      <c r="AM69" s="1">
        <f t="shared" si="200"/>
        <v>0.1342</v>
      </c>
      <c r="AN69" s="1">
        <f t="shared" si="201"/>
        <v>0.0423</v>
      </c>
      <c r="AO69" s="1">
        <f t="shared" si="202"/>
        <v>0.0065</v>
      </c>
      <c r="AP69" s="1">
        <f t="shared" si="203"/>
        <v>0.01</v>
      </c>
      <c r="AQ69" s="1">
        <f t="shared" si="204"/>
        <v>0.0079</v>
      </c>
      <c r="AR69" s="1">
        <f t="shared" si="205"/>
        <v>0.0769</v>
      </c>
      <c r="AS69" s="1">
        <f t="shared" si="206"/>
        <v>0.0573</v>
      </c>
      <c r="AT69" s="1">
        <f t="shared" si="207"/>
        <v>0.1195</v>
      </c>
      <c r="AU69" s="1">
        <f t="shared" si="208"/>
        <v>0.0254</v>
      </c>
      <c r="AV69" s="1">
        <f t="shared" si="209"/>
        <v>0.0113</v>
      </c>
      <c r="AW69" s="4">
        <f t="shared" si="210"/>
        <v>0.0353</v>
      </c>
      <c r="BA69" s="1">
        <f t="shared" si="128"/>
        <v>0.00262316865027091</v>
      </c>
      <c r="BB69" s="1">
        <f t="shared" si="184"/>
        <v>0.00193048023154523</v>
      </c>
      <c r="BC69" s="1">
        <f t="shared" si="185"/>
        <v>0.01016717519746</v>
      </c>
      <c r="BD69" s="1">
        <f t="shared" ref="BD69:BV69" si="216">AD69/SUM(AD$2:AD$91)</f>
        <v>0.00271430739983085</v>
      </c>
      <c r="BE69" s="1">
        <f t="shared" si="216"/>
        <v>0.0187364324442218</v>
      </c>
      <c r="BF69" s="1">
        <f t="shared" si="216"/>
        <v>0.00226613708911036</v>
      </c>
      <c r="BG69" s="1">
        <f t="shared" si="216"/>
        <v>0.00336560774018925</v>
      </c>
      <c r="BH69" s="1">
        <f t="shared" si="216"/>
        <v>0.000289669156442035</v>
      </c>
      <c r="BI69" s="1">
        <f t="shared" si="216"/>
        <v>0.000347322720694645</v>
      </c>
      <c r="BJ69" s="1">
        <f t="shared" si="216"/>
        <v>0.00353361011335542</v>
      </c>
      <c r="BK69" s="1">
        <f t="shared" si="216"/>
        <v>0.00709145197718486</v>
      </c>
      <c r="BL69" s="1">
        <f t="shared" si="216"/>
        <v>0.00600637085353492</v>
      </c>
      <c r="BM69" s="1">
        <f t="shared" si="216"/>
        <v>0.00351976919546259</v>
      </c>
      <c r="BN69" s="1">
        <f t="shared" si="216"/>
        <v>0.00183650343638882</v>
      </c>
      <c r="BO69" s="1">
        <f t="shared" si="216"/>
        <v>0.000835110620037516</v>
      </c>
      <c r="BP69" s="1">
        <f t="shared" si="216"/>
        <v>0.00161875161875162</v>
      </c>
      <c r="BQ69" s="1">
        <f t="shared" si="216"/>
        <v>0.00233052097468877</v>
      </c>
      <c r="BR69" s="1">
        <f t="shared" si="216"/>
        <v>0.00850870787138462</v>
      </c>
      <c r="BS69" s="1">
        <f t="shared" si="216"/>
        <v>0.00579566488312582</v>
      </c>
      <c r="BT69" s="1">
        <f t="shared" si="216"/>
        <v>0.0032889757386434</v>
      </c>
      <c r="BU69" s="1">
        <f t="shared" si="216"/>
        <v>0.00270566805500815</v>
      </c>
      <c r="BV69" s="1">
        <f t="shared" si="216"/>
        <v>0.00150192059757832</v>
      </c>
      <c r="CA69" s="1">
        <f t="shared" si="212"/>
        <v>-5.94337228345412</v>
      </c>
      <c r="CB69" s="1">
        <f t="shared" ref="CB69:CV69" si="217">IF(BB69=0,0,LN(BB69))</f>
        <v>-6.24998648238222</v>
      </c>
      <c r="CC69" s="1">
        <f t="shared" si="217"/>
        <v>-4.58859086586552</v>
      </c>
      <c r="CD69" s="1">
        <f t="shared" si="217"/>
        <v>-5.90921845949156</v>
      </c>
      <c r="CE69" s="1">
        <f t="shared" si="217"/>
        <v>-3.97728539146755</v>
      </c>
      <c r="CF69" s="1">
        <f t="shared" si="217"/>
        <v>-6.08967861992279</v>
      </c>
      <c r="CG69" s="1">
        <f t="shared" si="217"/>
        <v>-5.69414672589585</v>
      </c>
      <c r="CH69" s="1">
        <f t="shared" si="217"/>
        <v>-8.14677112609196</v>
      </c>
      <c r="CI69" s="1">
        <f t="shared" si="217"/>
        <v>-7.96525617940781</v>
      </c>
      <c r="CJ69" s="1">
        <f t="shared" si="217"/>
        <v>-5.64543523563166</v>
      </c>
      <c r="CK69" s="1">
        <f t="shared" si="217"/>
        <v>-4.94886516713651</v>
      </c>
      <c r="CL69" s="1">
        <f t="shared" si="217"/>
        <v>-5.11493456415197</v>
      </c>
      <c r="CM69" s="1">
        <f t="shared" si="217"/>
        <v>-5.64935986099276</v>
      </c>
      <c r="CN69" s="1">
        <f t="shared" si="217"/>
        <v>-6.29989182154441</v>
      </c>
      <c r="CO69" s="1">
        <f t="shared" si="217"/>
        <v>-7.08794636280115</v>
      </c>
      <c r="CP69" s="1">
        <f t="shared" si="217"/>
        <v>-6.42610003251593</v>
      </c>
      <c r="CQ69" s="1">
        <f t="shared" si="217"/>
        <v>-6.06166344211098</v>
      </c>
      <c r="CR69" s="1">
        <f t="shared" si="217"/>
        <v>-4.76666518442523</v>
      </c>
      <c r="CS69" s="1">
        <f t="shared" si="217"/>
        <v>-5.1506450748416</v>
      </c>
      <c r="CT69" s="1">
        <f t="shared" si="217"/>
        <v>-5.71717908831705</v>
      </c>
      <c r="CU69" s="1">
        <f t="shared" si="217"/>
        <v>-5.91240642674772</v>
      </c>
      <c r="CV69" s="1">
        <f t="shared" si="217"/>
        <v>-6.50101059149941</v>
      </c>
    </row>
    <row r="70" spans="1:100">
      <c r="A70" s="1" t="s">
        <v>38</v>
      </c>
      <c r="B70" s="1">
        <v>2023</v>
      </c>
      <c r="C70" s="1">
        <v>1481.29</v>
      </c>
      <c r="D70" s="1">
        <v>43614</v>
      </c>
      <c r="E70" s="2">
        <v>6</v>
      </c>
      <c r="F70" s="1">
        <v>24.03</v>
      </c>
      <c r="G70" s="3">
        <v>58</v>
      </c>
      <c r="H70" s="1">
        <v>93.07</v>
      </c>
      <c r="I70" s="1">
        <f t="shared" si="38"/>
        <v>2745</v>
      </c>
      <c r="J70" s="1">
        <v>0.25</v>
      </c>
      <c r="K70" s="1">
        <v>5.02</v>
      </c>
      <c r="L70" s="1">
        <v>929.79</v>
      </c>
      <c r="M70" s="1">
        <f t="shared" si="183"/>
        <v>27424</v>
      </c>
      <c r="N70" s="1">
        <v>38248</v>
      </c>
      <c r="O70" s="1">
        <v>15571</v>
      </c>
      <c r="P70" s="1">
        <v>64033</v>
      </c>
      <c r="Q70" s="1">
        <v>70.24</v>
      </c>
      <c r="R70" s="1">
        <v>16.29</v>
      </c>
      <c r="S70" s="1">
        <v>40.41</v>
      </c>
      <c r="T70" s="1">
        <v>8591</v>
      </c>
      <c r="U70" s="1">
        <v>339.04</v>
      </c>
      <c r="V70" s="1">
        <v>49.41</v>
      </c>
      <c r="W70" s="1">
        <v>6.11</v>
      </c>
      <c r="X70" s="1">
        <v>6.59</v>
      </c>
      <c r="AA70" s="1">
        <f t="shared" si="188"/>
        <v>0.0242</v>
      </c>
      <c r="AB70" s="1">
        <f t="shared" si="189"/>
        <v>0.0876</v>
      </c>
      <c r="AC70" s="1">
        <f t="shared" si="190"/>
        <v>0.594</v>
      </c>
      <c r="AD70" s="1">
        <f t="shared" si="191"/>
        <v>0.0561</v>
      </c>
      <c r="AE70" s="1">
        <f t="shared" si="192"/>
        <v>0.6438</v>
      </c>
      <c r="AF70" s="1">
        <f t="shared" si="193"/>
        <v>0.0227</v>
      </c>
      <c r="AG70" s="1">
        <f t="shared" si="194"/>
        <v>0.1399</v>
      </c>
      <c r="AH70" s="1">
        <f t="shared" si="195"/>
        <v>0.002</v>
      </c>
      <c r="AI70" s="1">
        <f t="shared" si="196"/>
        <v>0.0051</v>
      </c>
      <c r="AJ70" s="1">
        <f t="shared" si="197"/>
        <v>0.0336</v>
      </c>
      <c r="AK70" s="1">
        <f t="shared" si="198"/>
        <v>0.4158</v>
      </c>
      <c r="AL70" s="1">
        <f t="shared" si="199"/>
        <v>0.2269</v>
      </c>
      <c r="AM70" s="1">
        <f t="shared" si="200"/>
        <v>0.1879</v>
      </c>
      <c r="AN70" s="1">
        <f t="shared" si="201"/>
        <v>0.0648</v>
      </c>
      <c r="AO70" s="1">
        <f t="shared" si="202"/>
        <v>0.0076</v>
      </c>
      <c r="AP70" s="1">
        <f t="shared" si="203"/>
        <v>0.0146</v>
      </c>
      <c r="AQ70" s="1">
        <f t="shared" si="204"/>
        <v>0.0085</v>
      </c>
      <c r="AR70" s="1">
        <f t="shared" si="205"/>
        <v>0.097</v>
      </c>
      <c r="AS70" s="1">
        <f t="shared" si="206"/>
        <v>0.0571</v>
      </c>
      <c r="AT70" s="1">
        <f t="shared" si="207"/>
        <v>0.1443</v>
      </c>
      <c r="AU70" s="1">
        <f t="shared" si="208"/>
        <v>0.0283</v>
      </c>
      <c r="AV70" s="1">
        <f t="shared" si="209"/>
        <v>0.0138</v>
      </c>
      <c r="AW70" s="4">
        <f t="shared" si="210"/>
        <v>0.042</v>
      </c>
      <c r="BA70" s="1">
        <f t="shared" si="128"/>
        <v>0.00277208215443476</v>
      </c>
      <c r="BB70" s="1">
        <f t="shared" si="184"/>
        <v>0.00246157304633715</v>
      </c>
      <c r="BC70" s="1">
        <f t="shared" si="185"/>
        <v>0.0122625422686116</v>
      </c>
      <c r="BD70" s="1">
        <f t="shared" ref="BD70:BV70" si="218">AD70/SUM(AD$2:AD$91)</f>
        <v>0.00101379923522311</v>
      </c>
      <c r="BE70" s="1">
        <f t="shared" si="218"/>
        <v>0.0219398239497817</v>
      </c>
      <c r="BF70" s="1">
        <f t="shared" si="218"/>
        <v>0.00276566193133361</v>
      </c>
      <c r="BG70" s="1">
        <f t="shared" si="218"/>
        <v>0.00495630024055238</v>
      </c>
      <c r="BH70" s="1">
        <f t="shared" si="218"/>
        <v>0.000413813080631478</v>
      </c>
      <c r="BI70" s="1">
        <f t="shared" si="218"/>
        <v>0.000590448625180897</v>
      </c>
      <c r="BJ70" s="1">
        <f t="shared" si="218"/>
        <v>0.00391845873956244</v>
      </c>
      <c r="BK70" s="1">
        <f t="shared" si="218"/>
        <v>0.00795850400030625</v>
      </c>
      <c r="BL70" s="1">
        <f t="shared" si="218"/>
        <v>0.00861470004214331</v>
      </c>
      <c r="BM70" s="1">
        <f t="shared" si="218"/>
        <v>0.00492820142941446</v>
      </c>
      <c r="BN70" s="1">
        <f t="shared" si="218"/>
        <v>0.00281336696638287</v>
      </c>
      <c r="BO70" s="1">
        <f t="shared" si="218"/>
        <v>0.000976437032659249</v>
      </c>
      <c r="BP70" s="1">
        <f t="shared" si="218"/>
        <v>0.00236337736337736</v>
      </c>
      <c r="BQ70" s="1">
        <f t="shared" si="218"/>
        <v>0.00250752256770311</v>
      </c>
      <c r="BR70" s="1">
        <f t="shared" si="218"/>
        <v>0.0107327004359468</v>
      </c>
      <c r="BS70" s="1">
        <f t="shared" si="218"/>
        <v>0.00577543568632607</v>
      </c>
      <c r="BT70" s="1">
        <f t="shared" si="218"/>
        <v>0.00397154141494764</v>
      </c>
      <c r="BU70" s="1">
        <f t="shared" si="218"/>
        <v>0.00301458291168231</v>
      </c>
      <c r="BV70" s="1">
        <f t="shared" si="218"/>
        <v>0.00183420391562662</v>
      </c>
      <c r="CA70" s="1">
        <f t="shared" si="212"/>
        <v>-5.88815656085168</v>
      </c>
      <c r="CB70" s="1">
        <f t="shared" ref="CB70:CV70" si="219">IF(BB70=0,0,LN(BB70))</f>
        <v>-6.00695468366818</v>
      </c>
      <c r="CC70" s="1">
        <f t="shared" si="219"/>
        <v>-4.40120600711502</v>
      </c>
      <c r="CD70" s="1">
        <f t="shared" si="219"/>
        <v>-6.89405038629294</v>
      </c>
      <c r="CE70" s="1">
        <f t="shared" si="219"/>
        <v>-3.81945184833399</v>
      </c>
      <c r="CF70" s="1">
        <f t="shared" si="219"/>
        <v>-5.89047527615459</v>
      </c>
      <c r="CG70" s="1">
        <f t="shared" si="219"/>
        <v>-5.30709573582495</v>
      </c>
      <c r="CH70" s="1">
        <f t="shared" si="219"/>
        <v>-7.79009618215323</v>
      </c>
      <c r="CI70" s="1">
        <f t="shared" si="219"/>
        <v>-7.43462792834565</v>
      </c>
      <c r="CJ70" s="1">
        <f t="shared" si="219"/>
        <v>-5.54205688117782</v>
      </c>
      <c r="CK70" s="1">
        <f t="shared" si="219"/>
        <v>-4.83351423644874</v>
      </c>
      <c r="CL70" s="1">
        <f t="shared" si="219"/>
        <v>-4.75428522769972</v>
      </c>
      <c r="CM70" s="1">
        <f t="shared" si="219"/>
        <v>-5.31278117911092</v>
      </c>
      <c r="CN70" s="1">
        <f t="shared" si="219"/>
        <v>-5.87337330423841</v>
      </c>
      <c r="CO70" s="1">
        <f t="shared" si="219"/>
        <v>-6.93160029241046</v>
      </c>
      <c r="CP70" s="1">
        <f t="shared" si="219"/>
        <v>-6.04766359679568</v>
      </c>
      <c r="CQ70" s="1">
        <f t="shared" si="219"/>
        <v>-5.98846003808768</v>
      </c>
      <c r="CR70" s="1">
        <f t="shared" si="219"/>
        <v>-4.53446008243344</v>
      </c>
      <c r="CS70" s="1">
        <f t="shared" si="219"/>
        <v>-5.15414158190033</v>
      </c>
      <c r="CT70" s="1">
        <f t="shared" si="219"/>
        <v>-5.52860099390879</v>
      </c>
      <c r="CU70" s="1">
        <f t="shared" si="219"/>
        <v>-5.80429379612302</v>
      </c>
      <c r="CV70" s="1">
        <f t="shared" si="219"/>
        <v>-6.30114472505454</v>
      </c>
    </row>
    <row r="71" spans="1:100">
      <c r="A71" s="1" t="s">
        <v>38</v>
      </c>
      <c r="B71" s="1">
        <v>2024</v>
      </c>
      <c r="C71" s="1">
        <v>1661.36</v>
      </c>
      <c r="D71" s="1">
        <v>57700</v>
      </c>
      <c r="E71" s="1">
        <v>5.8</v>
      </c>
      <c r="F71" s="1">
        <v>23.15</v>
      </c>
      <c r="G71" s="1">
        <v>58.56</v>
      </c>
      <c r="H71" s="1">
        <v>102.04</v>
      </c>
      <c r="I71" s="1">
        <f t="shared" ref="I71:I91" si="220">ROUND(H71/U71*10000,0)</f>
        <v>3021</v>
      </c>
      <c r="J71" s="1">
        <v>0.25</v>
      </c>
      <c r="K71" s="1">
        <v>5.43</v>
      </c>
      <c r="L71" s="1">
        <v>83.27</v>
      </c>
      <c r="M71" s="1">
        <f t="shared" si="183"/>
        <v>2466</v>
      </c>
      <c r="N71" s="1">
        <v>40015</v>
      </c>
      <c r="O71" s="1">
        <v>16571</v>
      </c>
      <c r="P71" s="1">
        <v>74694</v>
      </c>
      <c r="Q71" s="1">
        <v>71.54</v>
      </c>
      <c r="R71" s="1">
        <v>16.51</v>
      </c>
      <c r="S71" s="1">
        <v>44.23</v>
      </c>
      <c r="T71" s="1">
        <v>10032</v>
      </c>
      <c r="U71" s="1">
        <v>337.72</v>
      </c>
      <c r="V71" s="1">
        <v>50.82</v>
      </c>
      <c r="W71" s="1">
        <v>6.55</v>
      </c>
      <c r="X71" s="1">
        <v>6.32</v>
      </c>
      <c r="AA71" s="1">
        <f t="shared" si="188"/>
        <v>0.0272</v>
      </c>
      <c r="AB71" s="1">
        <f t="shared" si="189"/>
        <v>0.2003</v>
      </c>
      <c r="AC71" s="1">
        <f t="shared" si="190"/>
        <v>0.5865</v>
      </c>
      <c r="AD71" s="1">
        <f t="shared" si="191"/>
        <v>0.0223</v>
      </c>
      <c r="AE71" s="1">
        <f t="shared" si="192"/>
        <v>0.6646</v>
      </c>
      <c r="AF71" s="1">
        <f t="shared" si="193"/>
        <v>0.025</v>
      </c>
      <c r="AG71" s="1">
        <f t="shared" si="194"/>
        <v>0.1653</v>
      </c>
      <c r="AH71" s="1">
        <f t="shared" si="195"/>
        <v>0.002</v>
      </c>
      <c r="AI71" s="1">
        <f t="shared" si="196"/>
        <v>0.0055</v>
      </c>
      <c r="AJ71" s="1">
        <f t="shared" si="197"/>
        <v>0.0025</v>
      </c>
      <c r="AK71" s="1">
        <f t="shared" si="198"/>
        <v>0</v>
      </c>
      <c r="AL71" s="1">
        <f t="shared" si="199"/>
        <v>0.2793</v>
      </c>
      <c r="AM71" s="1">
        <f t="shared" si="200"/>
        <v>0.2331</v>
      </c>
      <c r="AN71" s="1">
        <f t="shared" si="201"/>
        <v>0.1081</v>
      </c>
      <c r="AO71" s="1">
        <f t="shared" si="202"/>
        <v>0.0077</v>
      </c>
      <c r="AP71" s="1">
        <f t="shared" si="203"/>
        <v>0.0148</v>
      </c>
      <c r="AQ71" s="1">
        <f t="shared" si="204"/>
        <v>0.0093</v>
      </c>
      <c r="AR71" s="1">
        <f t="shared" si="205"/>
        <v>0.1136</v>
      </c>
      <c r="AS71" s="1">
        <f t="shared" si="206"/>
        <v>0.0569</v>
      </c>
      <c r="AT71" s="1">
        <f t="shared" si="207"/>
        <v>0.1782</v>
      </c>
      <c r="AU71" s="1">
        <f t="shared" si="208"/>
        <v>0.0304</v>
      </c>
      <c r="AV71" s="1">
        <f t="shared" si="209"/>
        <v>0.0132</v>
      </c>
      <c r="AW71" s="4">
        <f t="shared" si="210"/>
        <v>0.0437</v>
      </c>
      <c r="BA71" s="1">
        <f t="shared" ref="BA71:BA91" si="221">AA71/SUM(AA$2:AA$91)</f>
        <v>0.00311572870250518</v>
      </c>
      <c r="BB71" s="1">
        <f t="shared" si="184"/>
        <v>0.00562845983083711</v>
      </c>
      <c r="BC71" s="1">
        <f t="shared" si="185"/>
        <v>0.0121077121894625</v>
      </c>
      <c r="BD71" s="1">
        <f t="shared" ref="BD71:BV71" si="222">AD71/SUM(AD$2:AD$91)</f>
        <v>0.000402989713823089</v>
      </c>
      <c r="BE71" s="1">
        <f t="shared" si="222"/>
        <v>0.0226486595169695</v>
      </c>
      <c r="BF71" s="1">
        <f t="shared" si="222"/>
        <v>0.00304588318428812</v>
      </c>
      <c r="BG71" s="1">
        <f t="shared" si="222"/>
        <v>0.0058561574679293</v>
      </c>
      <c r="BH71" s="1">
        <f t="shared" si="222"/>
        <v>0.000413813080631478</v>
      </c>
      <c r="BI71" s="1">
        <f t="shared" si="222"/>
        <v>0.000636758321273517</v>
      </c>
      <c r="BJ71" s="1">
        <f t="shared" si="222"/>
        <v>0.000291551989550777</v>
      </c>
      <c r="BK71" s="1">
        <f t="shared" si="222"/>
        <v>0</v>
      </c>
      <c r="BL71" s="1">
        <f t="shared" si="222"/>
        <v>0.0106041680113293</v>
      </c>
      <c r="BM71" s="1">
        <f t="shared" si="222"/>
        <v>0.00611369746246148</v>
      </c>
      <c r="BN71" s="1">
        <f t="shared" si="222"/>
        <v>0.00469328655966031</v>
      </c>
      <c r="BO71" s="1">
        <f t="shared" si="222"/>
        <v>0.000989284888352134</v>
      </c>
      <c r="BP71" s="1">
        <f t="shared" si="222"/>
        <v>0.0023957523957524</v>
      </c>
      <c r="BQ71" s="1">
        <f t="shared" si="222"/>
        <v>0.00274352469172223</v>
      </c>
      <c r="BR71" s="1">
        <f t="shared" si="222"/>
        <v>0.0125694306136449</v>
      </c>
      <c r="BS71" s="1">
        <f t="shared" si="222"/>
        <v>0.00575520648952633</v>
      </c>
      <c r="BT71" s="1">
        <f t="shared" si="222"/>
        <v>0.00490456465796028</v>
      </c>
      <c r="BU71" s="1">
        <f t="shared" si="222"/>
        <v>0.00323827987686015</v>
      </c>
      <c r="BV71" s="1">
        <f t="shared" si="222"/>
        <v>0.00175445591929503</v>
      </c>
      <c r="CA71" s="1">
        <f t="shared" si="212"/>
        <v>-5.77129222071237</v>
      </c>
      <c r="CB71" s="1">
        <f t="shared" ref="CB71:CV71" si="223">IF(BB71=0,0,LN(BB71))</f>
        <v>-5.17991943893876</v>
      </c>
      <c r="CC71" s="1">
        <f t="shared" si="223"/>
        <v>-4.41391265838413</v>
      </c>
      <c r="CD71" s="1">
        <f t="shared" si="223"/>
        <v>-7.81659952035552</v>
      </c>
      <c r="CE71" s="1">
        <f t="shared" si="223"/>
        <v>-3.7876546112782</v>
      </c>
      <c r="CF71" s="1">
        <f t="shared" si="223"/>
        <v>-5.79396437577375</v>
      </c>
      <c r="CG71" s="1">
        <f t="shared" si="223"/>
        <v>-5.14026161266941</v>
      </c>
      <c r="CH71" s="1">
        <f t="shared" si="223"/>
        <v>-7.79009618215323</v>
      </c>
      <c r="CI71" s="1">
        <f t="shared" si="223"/>
        <v>-7.3591203758375</v>
      </c>
      <c r="CJ71" s="1">
        <f t="shared" si="223"/>
        <v>-8.14029221627282</v>
      </c>
      <c r="CK71" s="1">
        <f t="shared" si="223"/>
        <v>0</v>
      </c>
      <c r="CL71" s="1">
        <f t="shared" si="223"/>
        <v>-4.54650814653439</v>
      </c>
      <c r="CM71" s="1">
        <f t="shared" si="223"/>
        <v>-5.09722353948863</v>
      </c>
      <c r="CN71" s="1">
        <f t="shared" si="223"/>
        <v>-5.36162218295148</v>
      </c>
      <c r="CO71" s="1">
        <f t="shared" si="223"/>
        <v>-6.91852821084311</v>
      </c>
      <c r="CP71" s="1">
        <f t="shared" si="223"/>
        <v>-6.0340579447399</v>
      </c>
      <c r="CQ71" s="1">
        <f t="shared" si="223"/>
        <v>-5.89851180142474</v>
      </c>
      <c r="CR71" s="1">
        <f t="shared" si="223"/>
        <v>-4.37648755464977</v>
      </c>
      <c r="CS71" s="1">
        <f t="shared" si="223"/>
        <v>-5.15765035743001</v>
      </c>
      <c r="CT71" s="1">
        <f t="shared" si="223"/>
        <v>-5.3175889446519</v>
      </c>
      <c r="CU71" s="1">
        <f t="shared" si="223"/>
        <v>-5.73271299236003</v>
      </c>
      <c r="CV71" s="1">
        <f t="shared" si="223"/>
        <v>-6.34559648762538</v>
      </c>
    </row>
    <row r="72" spans="1:100">
      <c r="A72" s="1" t="s">
        <v>39</v>
      </c>
      <c r="B72" s="1">
        <v>2020</v>
      </c>
      <c r="C72" s="1">
        <v>827.91</v>
      </c>
      <c r="D72" s="1">
        <v>72790</v>
      </c>
      <c r="E72" s="1">
        <v>-4.3</v>
      </c>
      <c r="F72" s="1">
        <v>43.24</v>
      </c>
      <c r="G72" s="3">
        <v>45.1</v>
      </c>
      <c r="H72" s="1">
        <v>31.98</v>
      </c>
      <c r="I72" s="1">
        <f t="shared" si="220"/>
        <v>2818</v>
      </c>
      <c r="J72" s="1">
        <v>0.33</v>
      </c>
      <c r="K72" s="1">
        <v>33.97</v>
      </c>
      <c r="L72" s="1">
        <v>369.69</v>
      </c>
      <c r="M72" s="1">
        <f t="shared" si="183"/>
        <v>32580</v>
      </c>
      <c r="N72" s="1">
        <v>35750</v>
      </c>
      <c r="O72" s="1">
        <v>20647</v>
      </c>
      <c r="P72" s="1">
        <v>83436</v>
      </c>
      <c r="Q72" s="1">
        <v>23.64</v>
      </c>
      <c r="R72" s="1">
        <v>1.36</v>
      </c>
      <c r="S72" s="1">
        <v>9.86</v>
      </c>
      <c r="T72" s="1">
        <v>416</v>
      </c>
      <c r="U72" s="1">
        <v>113.47</v>
      </c>
      <c r="V72" s="1">
        <v>59.28</v>
      </c>
      <c r="W72" s="1">
        <v>1.11</v>
      </c>
      <c r="X72" s="3">
        <v>2.1</v>
      </c>
      <c r="Y72" s="3"/>
      <c r="Z72" s="3"/>
      <c r="AA72" s="1">
        <f t="shared" si="188"/>
        <v>0.0133</v>
      </c>
      <c r="AB72" s="1">
        <f t="shared" si="189"/>
        <v>0.3209</v>
      </c>
      <c r="AC72" s="1">
        <f t="shared" si="190"/>
        <v>0.2068</v>
      </c>
      <c r="AD72" s="1">
        <f t="shared" si="191"/>
        <v>0.7938</v>
      </c>
      <c r="AE72" s="1">
        <f t="shared" si="192"/>
        <v>0.1646</v>
      </c>
      <c r="AF72" s="1">
        <f t="shared" si="193"/>
        <v>0.0072</v>
      </c>
      <c r="AG72" s="1">
        <f t="shared" si="194"/>
        <v>0.1466</v>
      </c>
      <c r="AH72" s="1">
        <f t="shared" si="195"/>
        <v>0.0026</v>
      </c>
      <c r="AI72" s="1">
        <f t="shared" si="196"/>
        <v>0.0342</v>
      </c>
      <c r="AJ72" s="1">
        <f t="shared" si="197"/>
        <v>0.013</v>
      </c>
      <c r="AK72" s="1">
        <f t="shared" si="198"/>
        <v>0.5017</v>
      </c>
      <c r="AL72" s="1">
        <f t="shared" si="199"/>
        <v>0.1529</v>
      </c>
      <c r="AM72" s="1">
        <f t="shared" si="200"/>
        <v>0.4174</v>
      </c>
      <c r="AN72" s="1">
        <f t="shared" si="201"/>
        <v>0.1437</v>
      </c>
      <c r="AO72" s="1">
        <f t="shared" si="202"/>
        <v>0.0024</v>
      </c>
      <c r="AP72" s="1">
        <f t="shared" si="203"/>
        <v>0.0011</v>
      </c>
      <c r="AQ72" s="1">
        <f t="shared" si="204"/>
        <v>0.0019</v>
      </c>
      <c r="AR72" s="1">
        <f t="shared" si="205"/>
        <v>0.0032</v>
      </c>
      <c r="AS72" s="1">
        <f t="shared" si="206"/>
        <v>0.0184</v>
      </c>
      <c r="AT72" s="1">
        <f t="shared" si="207"/>
        <v>0.3816</v>
      </c>
      <c r="AU72" s="1">
        <f t="shared" si="208"/>
        <v>0.0051</v>
      </c>
      <c r="AV72" s="1">
        <f t="shared" si="209"/>
        <v>0.0035</v>
      </c>
      <c r="AW72" s="4">
        <f t="shared" si="210"/>
        <v>0.0308</v>
      </c>
      <c r="BA72" s="1">
        <f t="shared" si="221"/>
        <v>0.00152349969644555</v>
      </c>
      <c r="BB72" s="1">
        <f t="shared" si="184"/>
        <v>0.0090173377918903</v>
      </c>
      <c r="BC72" s="1">
        <f t="shared" si="185"/>
        <v>0.00426918138240552</v>
      </c>
      <c r="BD72" s="1">
        <f t="shared" ref="BD72:BV72" si="224">AD72/SUM(AD$2:AD$91)</f>
        <v>0.0143449881090927</v>
      </c>
      <c r="BE72" s="1">
        <f t="shared" si="224"/>
        <v>0.00560934299803367</v>
      </c>
      <c r="BF72" s="1">
        <f t="shared" si="224"/>
        <v>0.000877214357074977</v>
      </c>
      <c r="BG72" s="1">
        <f t="shared" si="224"/>
        <v>0.00519366415486047</v>
      </c>
      <c r="BH72" s="1">
        <f t="shared" si="224"/>
        <v>0.000537957004820922</v>
      </c>
      <c r="BI72" s="1">
        <f t="shared" si="224"/>
        <v>0.00395947901591896</v>
      </c>
      <c r="BJ72" s="1">
        <f t="shared" si="224"/>
        <v>0.00151607034566404</v>
      </c>
      <c r="BK72" s="1">
        <f t="shared" si="224"/>
        <v>0.00960264900662252</v>
      </c>
      <c r="BL72" s="1">
        <f t="shared" si="224"/>
        <v>0.0058051460398577</v>
      </c>
      <c r="BM72" s="1">
        <f t="shared" si="224"/>
        <v>0.0109474788538456</v>
      </c>
      <c r="BN72" s="1">
        <f t="shared" si="224"/>
        <v>0.00623890174489534</v>
      </c>
      <c r="BO72" s="1">
        <f t="shared" si="224"/>
        <v>0.000308348536629237</v>
      </c>
      <c r="BP72" s="1">
        <f t="shared" si="224"/>
        <v>0.000178062678062678</v>
      </c>
      <c r="BQ72" s="1">
        <f t="shared" si="224"/>
        <v>0.000560505044545401</v>
      </c>
      <c r="BR72" s="1">
        <f t="shared" si="224"/>
        <v>0.000354068467989997</v>
      </c>
      <c r="BS72" s="1">
        <f t="shared" si="224"/>
        <v>0.00186108610557618</v>
      </c>
      <c r="BT72" s="1">
        <f t="shared" si="224"/>
        <v>0.0105027041160362</v>
      </c>
      <c r="BU72" s="1">
        <f t="shared" si="224"/>
        <v>0.000543264058289038</v>
      </c>
      <c r="BV72" s="1">
        <f t="shared" si="224"/>
        <v>0.000465196645267621</v>
      </c>
      <c r="CA72" s="1">
        <f t="shared" si="212"/>
        <v>-6.48674515878661</v>
      </c>
      <c r="CB72" s="1">
        <f t="shared" ref="CB72:CV72" si="225">IF(BB72=0,0,LN(BB72))</f>
        <v>-4.70860613349472</v>
      </c>
      <c r="CC72" s="1">
        <f t="shared" si="225"/>
        <v>-5.45633318384339</v>
      </c>
      <c r="CD72" s="1">
        <f t="shared" si="225"/>
        <v>-4.24435465847263</v>
      </c>
      <c r="CE72" s="1">
        <f t="shared" si="225"/>
        <v>-5.18332167895572</v>
      </c>
      <c r="CF72" s="1">
        <f t="shared" si="225"/>
        <v>-7.03875917461994</v>
      </c>
      <c r="CG72" s="1">
        <f t="shared" si="225"/>
        <v>-5.26031582804383</v>
      </c>
      <c r="CH72" s="1">
        <f t="shared" si="225"/>
        <v>-7.52773191768574</v>
      </c>
      <c r="CI72" s="1">
        <f t="shared" si="225"/>
        <v>-5.53164282400737</v>
      </c>
      <c r="CJ72" s="1">
        <f t="shared" si="225"/>
        <v>-6.49163359068544</v>
      </c>
      <c r="CK72" s="1">
        <f t="shared" si="225"/>
        <v>-4.64571628038244</v>
      </c>
      <c r="CL72" s="1">
        <f t="shared" si="225"/>
        <v>-5.1490105065505</v>
      </c>
      <c r="CM72" s="1">
        <f t="shared" si="225"/>
        <v>-4.51464609088724</v>
      </c>
      <c r="CN72" s="1">
        <f t="shared" si="225"/>
        <v>-5.07695111451166</v>
      </c>
      <c r="CO72" s="1">
        <f t="shared" si="225"/>
        <v>-8.08427980234884</v>
      </c>
      <c r="CP72" s="1">
        <f t="shared" si="225"/>
        <v>-8.63337494570565</v>
      </c>
      <c r="CQ72" s="1">
        <f t="shared" si="225"/>
        <v>-7.48667231541156</v>
      </c>
      <c r="CR72" s="1">
        <f t="shared" si="225"/>
        <v>-7.94602025113114</v>
      </c>
      <c r="CS72" s="1">
        <f t="shared" si="225"/>
        <v>-6.28659503394736</v>
      </c>
      <c r="CT72" s="1">
        <f t="shared" si="225"/>
        <v>-4.55612252011448</v>
      </c>
      <c r="CU72" s="1">
        <f t="shared" si="225"/>
        <v>-7.51791506104193</v>
      </c>
      <c r="CV72" s="1">
        <f t="shared" si="225"/>
        <v>-7.67305034872233</v>
      </c>
    </row>
    <row r="73" spans="1:100">
      <c r="A73" s="1" t="s">
        <v>39</v>
      </c>
      <c r="B73" s="1">
        <v>2021</v>
      </c>
      <c r="C73" s="3">
        <v>929.9</v>
      </c>
      <c r="D73" s="1">
        <v>83034</v>
      </c>
      <c r="E73" s="1">
        <v>6.3</v>
      </c>
      <c r="F73" s="1">
        <v>42.74</v>
      </c>
      <c r="G73" s="1">
        <v>44.49</v>
      </c>
      <c r="H73" s="1">
        <v>37.12</v>
      </c>
      <c r="I73" s="1">
        <f t="shared" si="220"/>
        <v>3359</v>
      </c>
      <c r="J73" s="1">
        <v>0.54</v>
      </c>
      <c r="K73" s="3">
        <v>17</v>
      </c>
      <c r="L73" s="3">
        <v>473.8</v>
      </c>
      <c r="M73" s="1">
        <f t="shared" si="183"/>
        <v>42874</v>
      </c>
      <c r="N73" s="1">
        <v>38681</v>
      </c>
      <c r="O73" s="1">
        <v>22608</v>
      </c>
      <c r="P73" s="1">
        <v>91191</v>
      </c>
      <c r="Q73" s="1">
        <v>25.33</v>
      </c>
      <c r="R73" s="1">
        <v>0.95</v>
      </c>
      <c r="S73" s="1">
        <v>10.64</v>
      </c>
      <c r="T73" s="1">
        <v>557</v>
      </c>
      <c r="U73" s="1">
        <v>110.51</v>
      </c>
      <c r="V73" s="3">
        <v>60</v>
      </c>
      <c r="W73" s="3">
        <v>1.3</v>
      </c>
      <c r="X73" s="1">
        <v>2.35</v>
      </c>
      <c r="AA73" s="1">
        <f t="shared" si="188"/>
        <v>0.015</v>
      </c>
      <c r="AB73" s="1">
        <f t="shared" si="189"/>
        <v>0.4028</v>
      </c>
      <c r="AC73" s="1">
        <f t="shared" si="190"/>
        <v>0.6053</v>
      </c>
      <c r="AD73" s="1">
        <f t="shared" si="191"/>
        <v>0.7746</v>
      </c>
      <c r="AE73" s="1">
        <f t="shared" si="192"/>
        <v>0.1419</v>
      </c>
      <c r="AF73" s="1">
        <f t="shared" si="193"/>
        <v>0.0085</v>
      </c>
      <c r="AG73" s="1">
        <f t="shared" si="194"/>
        <v>0.1965</v>
      </c>
      <c r="AH73" s="1">
        <f t="shared" si="195"/>
        <v>0.0043</v>
      </c>
      <c r="AI73" s="1">
        <f t="shared" si="196"/>
        <v>0.0171</v>
      </c>
      <c r="AJ73" s="1">
        <f t="shared" si="197"/>
        <v>0.0169</v>
      </c>
      <c r="AK73" s="1">
        <f t="shared" si="198"/>
        <v>0.6732</v>
      </c>
      <c r="AL73" s="1">
        <f t="shared" si="199"/>
        <v>0.2398</v>
      </c>
      <c r="AM73" s="1">
        <f t="shared" si="200"/>
        <v>0.5061</v>
      </c>
      <c r="AN73" s="1">
        <f t="shared" si="201"/>
        <v>0.1752</v>
      </c>
      <c r="AO73" s="1">
        <f t="shared" si="202"/>
        <v>0.0026</v>
      </c>
      <c r="AP73" s="1">
        <f t="shared" si="203"/>
        <v>0.0008</v>
      </c>
      <c r="AQ73" s="1">
        <f t="shared" si="204"/>
        <v>0.0021</v>
      </c>
      <c r="AR73" s="1">
        <f t="shared" si="205"/>
        <v>0.0049</v>
      </c>
      <c r="AS73" s="1">
        <f t="shared" si="206"/>
        <v>0.0179</v>
      </c>
      <c r="AT73" s="1">
        <f t="shared" si="207"/>
        <v>0.3989</v>
      </c>
      <c r="AU73" s="1">
        <f t="shared" si="208"/>
        <v>0.006</v>
      </c>
      <c r="AV73" s="1">
        <f t="shared" si="209"/>
        <v>0.0041</v>
      </c>
      <c r="AW73" s="4">
        <f t="shared" si="210"/>
        <v>0.0362</v>
      </c>
      <c r="BA73" s="1">
        <f t="shared" si="221"/>
        <v>0.00171823274035212</v>
      </c>
      <c r="BB73" s="1">
        <f t="shared" si="184"/>
        <v>0.0113187399893219</v>
      </c>
      <c r="BC73" s="1">
        <f t="shared" si="185"/>
        <v>0.012495819587863</v>
      </c>
      <c r="BD73" s="1">
        <f t="shared" ref="BD73:BV73" si="226">AD73/SUM(AD$2:AD$91)</f>
        <v>0.0139980193868774</v>
      </c>
      <c r="BE73" s="1">
        <f t="shared" si="226"/>
        <v>0.00483575802807398</v>
      </c>
      <c r="BF73" s="1">
        <f t="shared" si="226"/>
        <v>0.00103560028265796</v>
      </c>
      <c r="BG73" s="1">
        <f t="shared" si="226"/>
        <v>0.00696149390470724</v>
      </c>
      <c r="BH73" s="1">
        <f t="shared" si="226"/>
        <v>0.000889698123357678</v>
      </c>
      <c r="BI73" s="1">
        <f t="shared" si="226"/>
        <v>0.00197973950795948</v>
      </c>
      <c r="BJ73" s="1">
        <f t="shared" si="226"/>
        <v>0.00197089144936325</v>
      </c>
      <c r="BK73" s="1">
        <f t="shared" si="226"/>
        <v>0.0128851969528768</v>
      </c>
      <c r="BL73" s="1">
        <f t="shared" si="226"/>
        <v>0.00910447364524446</v>
      </c>
      <c r="BM73" s="1">
        <f t="shared" si="226"/>
        <v>0.0132738836797587</v>
      </c>
      <c r="BN73" s="1">
        <f t="shared" si="226"/>
        <v>0.00760651068688702</v>
      </c>
      <c r="BO73" s="1">
        <f t="shared" si="226"/>
        <v>0.000334044248015006</v>
      </c>
      <c r="BP73" s="1">
        <f t="shared" si="226"/>
        <v>0.000129500129500129</v>
      </c>
      <c r="BQ73" s="1">
        <f t="shared" si="226"/>
        <v>0.00061950557555018</v>
      </c>
      <c r="BR73" s="1">
        <f t="shared" si="226"/>
        <v>0.000542167341609684</v>
      </c>
      <c r="BS73" s="1">
        <f t="shared" si="226"/>
        <v>0.00181051311357683</v>
      </c>
      <c r="BT73" s="1">
        <f t="shared" si="226"/>
        <v>0.0109788487208774</v>
      </c>
      <c r="BU73" s="1">
        <f t="shared" si="226"/>
        <v>0.000639134186222397</v>
      </c>
      <c r="BV73" s="1">
        <f t="shared" si="226"/>
        <v>0.000544944641599213</v>
      </c>
      <c r="CA73" s="1">
        <f t="shared" si="212"/>
        <v>-6.36645899291211</v>
      </c>
      <c r="CB73" s="1">
        <f t="shared" ref="CB73:CV73" si="227">IF(BB73=0,0,LN(BB73))</f>
        <v>-4.48129552076612</v>
      </c>
      <c r="CC73" s="1">
        <f t="shared" si="227"/>
        <v>-4.38236112358002</v>
      </c>
      <c r="CD73" s="1">
        <f t="shared" si="227"/>
        <v>-4.26883943174094</v>
      </c>
      <c r="CE73" s="1">
        <f t="shared" si="227"/>
        <v>-5.3317173830327</v>
      </c>
      <c r="CF73" s="1">
        <f t="shared" si="227"/>
        <v>-6.87277403714568</v>
      </c>
      <c r="CG73" s="1">
        <f t="shared" si="227"/>
        <v>-4.96736118618707</v>
      </c>
      <c r="CH73" s="1">
        <f t="shared" si="227"/>
        <v>-7.02462834001366</v>
      </c>
      <c r="CI73" s="1">
        <f t="shared" si="227"/>
        <v>-6.22479000456731</v>
      </c>
      <c r="CJ73" s="1">
        <f t="shared" si="227"/>
        <v>-6.22926932621795</v>
      </c>
      <c r="CK73" s="1">
        <f t="shared" si="227"/>
        <v>-4.351676149556</v>
      </c>
      <c r="CL73" s="1">
        <f t="shared" si="227"/>
        <v>-4.69898937689211</v>
      </c>
      <c r="CM73" s="1">
        <f t="shared" si="227"/>
        <v>-4.32195680731031</v>
      </c>
      <c r="CN73" s="1">
        <f t="shared" si="227"/>
        <v>-4.87875072909435</v>
      </c>
      <c r="CO73" s="1">
        <f t="shared" si="227"/>
        <v>-8.00423709467531</v>
      </c>
      <c r="CP73" s="1">
        <f t="shared" si="227"/>
        <v>-8.95182867682418</v>
      </c>
      <c r="CQ73" s="1">
        <f t="shared" si="227"/>
        <v>-7.38658885685458</v>
      </c>
      <c r="CR73" s="1">
        <f t="shared" si="227"/>
        <v>-7.51993585582024</v>
      </c>
      <c r="CS73" s="1">
        <f t="shared" si="227"/>
        <v>-6.31414498571559</v>
      </c>
      <c r="CT73" s="1">
        <f t="shared" si="227"/>
        <v>-4.51178470077725</v>
      </c>
      <c r="CU73" s="1">
        <f t="shared" si="227"/>
        <v>-7.35539613154415</v>
      </c>
      <c r="CV73" s="1">
        <f t="shared" si="227"/>
        <v>-7.51482634350744</v>
      </c>
    </row>
    <row r="74" spans="1:100">
      <c r="A74" s="1" t="s">
        <v>39</v>
      </c>
      <c r="B74" s="1">
        <v>2022</v>
      </c>
      <c r="C74" s="1">
        <v>1013.14</v>
      </c>
      <c r="D74" s="1">
        <v>91641</v>
      </c>
      <c r="E74" s="1">
        <v>5.3</v>
      </c>
      <c r="F74" s="1">
        <v>45.57</v>
      </c>
      <c r="G74" s="1">
        <v>42.33</v>
      </c>
      <c r="H74" s="1">
        <v>34.51</v>
      </c>
      <c r="I74" s="1">
        <f t="shared" si="220"/>
        <v>3120</v>
      </c>
      <c r="J74" s="1">
        <v>0.14</v>
      </c>
      <c r="K74" s="1">
        <v>14.23</v>
      </c>
      <c r="L74" s="1">
        <v>496.86</v>
      </c>
      <c r="M74" s="1">
        <f t="shared" si="183"/>
        <v>44924</v>
      </c>
      <c r="N74" s="1">
        <v>41080</v>
      </c>
      <c r="O74" s="1">
        <v>24620</v>
      </c>
      <c r="P74" s="1">
        <v>103614</v>
      </c>
      <c r="Q74" s="1">
        <v>21.17</v>
      </c>
      <c r="R74" s="3">
        <v>0.7</v>
      </c>
      <c r="S74" s="1">
        <v>12.17</v>
      </c>
      <c r="T74" s="1">
        <v>546</v>
      </c>
      <c r="U74" s="3">
        <v>110.6</v>
      </c>
      <c r="V74" s="1">
        <v>60.63</v>
      </c>
      <c r="W74" s="1">
        <v>1.41</v>
      </c>
      <c r="X74" s="3">
        <v>2.4</v>
      </c>
      <c r="Y74" s="3"/>
      <c r="Z74" s="3"/>
      <c r="AA74" s="1">
        <f t="shared" si="188"/>
        <v>0.0164</v>
      </c>
      <c r="AB74" s="1">
        <f t="shared" si="189"/>
        <v>0.4716</v>
      </c>
      <c r="AC74" s="1">
        <f t="shared" si="190"/>
        <v>0.5677</v>
      </c>
      <c r="AD74" s="1">
        <f t="shared" si="191"/>
        <v>0.8833</v>
      </c>
      <c r="AE74" s="1">
        <f t="shared" si="192"/>
        <v>0.0617</v>
      </c>
      <c r="AF74" s="1">
        <f t="shared" si="193"/>
        <v>0.0078</v>
      </c>
      <c r="AG74" s="1">
        <f t="shared" si="194"/>
        <v>0.1744</v>
      </c>
      <c r="AH74" s="1">
        <f t="shared" si="195"/>
        <v>0.0011</v>
      </c>
      <c r="AI74" s="1">
        <f t="shared" si="196"/>
        <v>0.0143</v>
      </c>
      <c r="AJ74" s="1">
        <f t="shared" si="197"/>
        <v>0.0177</v>
      </c>
      <c r="AK74" s="1">
        <f t="shared" si="198"/>
        <v>0.7074</v>
      </c>
      <c r="AL74" s="1">
        <f t="shared" si="199"/>
        <v>0.3108</v>
      </c>
      <c r="AM74" s="1">
        <f t="shared" si="200"/>
        <v>0.5971</v>
      </c>
      <c r="AN74" s="1">
        <f t="shared" si="201"/>
        <v>0.2257</v>
      </c>
      <c r="AO74" s="1">
        <f t="shared" si="202"/>
        <v>0.0022</v>
      </c>
      <c r="AP74" s="1">
        <f t="shared" si="203"/>
        <v>0.0005</v>
      </c>
      <c r="AQ74" s="1">
        <f t="shared" si="204"/>
        <v>0.0024</v>
      </c>
      <c r="AR74" s="1">
        <f t="shared" si="205"/>
        <v>0.0047</v>
      </c>
      <c r="AS74" s="1">
        <f t="shared" si="206"/>
        <v>0.018</v>
      </c>
      <c r="AT74" s="1">
        <f t="shared" si="207"/>
        <v>0.414</v>
      </c>
      <c r="AU74" s="1">
        <f t="shared" si="208"/>
        <v>0.0065</v>
      </c>
      <c r="AV74" s="1">
        <f t="shared" si="209"/>
        <v>0.0042</v>
      </c>
      <c r="AW74" s="4">
        <f t="shared" si="210"/>
        <v>0.0376</v>
      </c>
      <c r="BA74" s="1">
        <f t="shared" si="221"/>
        <v>0.00187860112945166</v>
      </c>
      <c r="BB74" s="1">
        <f t="shared" si="184"/>
        <v>0.0132520302357603</v>
      </c>
      <c r="BC74" s="1">
        <f t="shared" si="185"/>
        <v>0.011719604791062</v>
      </c>
      <c r="BD74" s="1">
        <f t="shared" ref="BD74:BV74" si="228">AD74/SUM(AD$2:AD$91)</f>
        <v>0.0159623683506697</v>
      </c>
      <c r="BE74" s="1">
        <f t="shared" si="228"/>
        <v>0.00210265165843668</v>
      </c>
      <c r="BF74" s="1">
        <f t="shared" si="228"/>
        <v>0.000950315553497892</v>
      </c>
      <c r="BG74" s="1">
        <f t="shared" si="228"/>
        <v>0.00617854726198953</v>
      </c>
      <c r="BH74" s="1">
        <f t="shared" si="228"/>
        <v>0.000227597194347313</v>
      </c>
      <c r="BI74" s="1">
        <f t="shared" si="228"/>
        <v>0.00165557163531114</v>
      </c>
      <c r="BJ74" s="1">
        <f t="shared" si="228"/>
        <v>0.0020641880860195</v>
      </c>
      <c r="BK74" s="1">
        <f t="shared" si="228"/>
        <v>0.0135397925200015</v>
      </c>
      <c r="BL74" s="1">
        <f t="shared" si="228"/>
        <v>0.0118001268095996</v>
      </c>
      <c r="BM74" s="1">
        <f t="shared" si="228"/>
        <v>0.0156606124188578</v>
      </c>
      <c r="BN74" s="1">
        <f t="shared" si="228"/>
        <v>0.00979902660976256</v>
      </c>
      <c r="BO74" s="1">
        <f t="shared" si="228"/>
        <v>0.000282652825243467</v>
      </c>
      <c r="BP74" s="1">
        <f t="shared" si="228"/>
        <v>8.09375809375809e-5</v>
      </c>
      <c r="BQ74" s="1">
        <f t="shared" si="228"/>
        <v>0.000708006372057348</v>
      </c>
      <c r="BR74" s="1">
        <f t="shared" si="228"/>
        <v>0.000520038062360309</v>
      </c>
      <c r="BS74" s="1">
        <f t="shared" si="228"/>
        <v>0.0018206277119767</v>
      </c>
      <c r="BT74" s="1">
        <f t="shared" si="228"/>
        <v>0.0113944431447562</v>
      </c>
      <c r="BU74" s="1">
        <f t="shared" si="228"/>
        <v>0.000692395368407597</v>
      </c>
      <c r="BV74" s="1">
        <f t="shared" si="228"/>
        <v>0.000558235974321145</v>
      </c>
      <c r="CA74" s="1">
        <f t="shared" si="212"/>
        <v>-6.27722785918417</v>
      </c>
      <c r="CB74" s="1">
        <f t="shared" ref="CB74:CV74" si="229">IF(BB74=0,0,LN(BB74))</f>
        <v>-4.32360451294731</v>
      </c>
      <c r="CC74" s="1">
        <f t="shared" si="229"/>
        <v>-4.44649221630098</v>
      </c>
      <c r="CD74" s="1">
        <f t="shared" si="229"/>
        <v>-4.13752130507051</v>
      </c>
      <c r="CE74" s="1">
        <f t="shared" si="229"/>
        <v>-6.16455603628735</v>
      </c>
      <c r="CF74" s="1">
        <f t="shared" si="229"/>
        <v>-6.9587164669464</v>
      </c>
      <c r="CG74" s="1">
        <f t="shared" si="229"/>
        <v>-5.08667210602151</v>
      </c>
      <c r="CH74" s="1">
        <f t="shared" si="229"/>
        <v>-8.38793318290885</v>
      </c>
      <c r="CI74" s="1">
        <f t="shared" si="229"/>
        <v>-6.40360893081006</v>
      </c>
      <c r="CJ74" s="1">
        <f t="shared" si="229"/>
        <v>-6.1830183085672</v>
      </c>
      <c r="CK74" s="1">
        <f t="shared" si="229"/>
        <v>-4.30212233510127</v>
      </c>
      <c r="CL74" s="1">
        <f t="shared" si="229"/>
        <v>-4.43964500099203</v>
      </c>
      <c r="CM74" s="1">
        <f t="shared" si="229"/>
        <v>-4.15660648197739</v>
      </c>
      <c r="CN74" s="1">
        <f t="shared" si="229"/>
        <v>-4.62547222377315</v>
      </c>
      <c r="CO74" s="1">
        <f t="shared" si="229"/>
        <v>-8.17129117933847</v>
      </c>
      <c r="CP74" s="1">
        <f t="shared" si="229"/>
        <v>-9.42183230606992</v>
      </c>
      <c r="CQ74" s="1">
        <f t="shared" si="229"/>
        <v>-7.25305746423005</v>
      </c>
      <c r="CR74" s="1">
        <f t="shared" si="229"/>
        <v>-7.56160855222081</v>
      </c>
      <c r="CS74" s="1">
        <f t="shared" si="229"/>
        <v>-6.30857394066613</v>
      </c>
      <c r="CT74" s="1">
        <f t="shared" si="229"/>
        <v>-4.4746294858633</v>
      </c>
      <c r="CU74" s="1">
        <f t="shared" si="229"/>
        <v>-7.27535342387062</v>
      </c>
      <c r="CV74" s="1">
        <f t="shared" si="229"/>
        <v>-7.49072879192838</v>
      </c>
    </row>
    <row r="75" spans="1:100">
      <c r="A75" s="1" t="s">
        <v>39</v>
      </c>
      <c r="B75" s="1">
        <v>2023</v>
      </c>
      <c r="C75" s="1">
        <v>1014.33</v>
      </c>
      <c r="D75" s="1">
        <v>92246</v>
      </c>
      <c r="E75" s="1">
        <v>4.6</v>
      </c>
      <c r="F75" s="1">
        <v>42.95</v>
      </c>
      <c r="G75" s="1">
        <v>45.47</v>
      </c>
      <c r="H75" s="3">
        <v>38.1</v>
      </c>
      <c r="I75" s="1">
        <f t="shared" si="220"/>
        <v>3485</v>
      </c>
      <c r="J75" s="1">
        <v>0.36</v>
      </c>
      <c r="K75" s="1">
        <v>12.06</v>
      </c>
      <c r="L75" s="1">
        <v>541.53</v>
      </c>
      <c r="M75" s="1">
        <f t="shared" si="183"/>
        <v>49536</v>
      </c>
      <c r="N75" s="1">
        <v>43114</v>
      </c>
      <c r="O75" s="1">
        <v>26578</v>
      </c>
      <c r="P75" s="1">
        <v>113227</v>
      </c>
      <c r="Q75" s="1">
        <v>24.65</v>
      </c>
      <c r="R75" s="1">
        <v>0.44</v>
      </c>
      <c r="S75" s="1">
        <v>12.52</v>
      </c>
      <c r="T75" s="1">
        <v>846</v>
      </c>
      <c r="U75" s="1">
        <v>109.32</v>
      </c>
      <c r="V75" s="1">
        <v>61.43</v>
      </c>
      <c r="W75" s="1">
        <v>1.46</v>
      </c>
      <c r="X75" s="3">
        <v>3.1</v>
      </c>
      <c r="Y75" s="3"/>
      <c r="Z75" s="3"/>
      <c r="AA75" s="1">
        <f t="shared" si="188"/>
        <v>0.0164</v>
      </c>
      <c r="AB75" s="1">
        <f t="shared" si="189"/>
        <v>0.4765</v>
      </c>
      <c r="AC75" s="1">
        <f t="shared" si="190"/>
        <v>0.5414</v>
      </c>
      <c r="AD75" s="1">
        <f t="shared" si="191"/>
        <v>0.7826</v>
      </c>
      <c r="AE75" s="1">
        <f t="shared" si="192"/>
        <v>0.1783</v>
      </c>
      <c r="AF75" s="1">
        <f t="shared" si="193"/>
        <v>0.0087</v>
      </c>
      <c r="AG75" s="1">
        <f t="shared" si="194"/>
        <v>0.2081</v>
      </c>
      <c r="AH75" s="1">
        <f t="shared" si="195"/>
        <v>0.0029</v>
      </c>
      <c r="AI75" s="1">
        <f t="shared" si="196"/>
        <v>0.0122</v>
      </c>
      <c r="AJ75" s="1">
        <f t="shared" si="197"/>
        <v>0.0193</v>
      </c>
      <c r="AK75" s="1">
        <f t="shared" si="198"/>
        <v>0.7842</v>
      </c>
      <c r="AL75" s="1">
        <f t="shared" si="199"/>
        <v>0.3711</v>
      </c>
      <c r="AM75" s="1">
        <f t="shared" si="200"/>
        <v>0.6856</v>
      </c>
      <c r="AN75" s="1">
        <f t="shared" si="201"/>
        <v>0.2648</v>
      </c>
      <c r="AO75" s="1">
        <f t="shared" si="202"/>
        <v>0.0026</v>
      </c>
      <c r="AP75" s="1">
        <f t="shared" si="203"/>
        <v>0.0003</v>
      </c>
      <c r="AQ75" s="1">
        <f t="shared" si="204"/>
        <v>0.0025</v>
      </c>
      <c r="AR75" s="1">
        <f t="shared" si="205"/>
        <v>0.0082</v>
      </c>
      <c r="AS75" s="1">
        <f t="shared" si="206"/>
        <v>0.0177</v>
      </c>
      <c r="AT75" s="1">
        <f t="shared" si="207"/>
        <v>0.4333</v>
      </c>
      <c r="AU75" s="1">
        <f t="shared" si="208"/>
        <v>0.0068</v>
      </c>
      <c r="AV75" s="1">
        <f t="shared" si="209"/>
        <v>0.0058</v>
      </c>
      <c r="AW75" s="4">
        <f t="shared" si="210"/>
        <v>0.0417</v>
      </c>
      <c r="BA75" s="1">
        <f t="shared" si="221"/>
        <v>0.00187860112945166</v>
      </c>
      <c r="BB75" s="1">
        <f t="shared" si="184"/>
        <v>0.0133897209655211</v>
      </c>
      <c r="BC75" s="1">
        <f t="shared" si="185"/>
        <v>0.0111766673135123</v>
      </c>
      <c r="BD75" s="1">
        <f t="shared" ref="BD75:BV75" si="230">AD75/SUM(AD$2:AD$91)</f>
        <v>0.0141425896878004</v>
      </c>
      <c r="BE75" s="1">
        <f t="shared" si="230"/>
        <v>0.00607622027065251</v>
      </c>
      <c r="BF75" s="1">
        <f t="shared" si="230"/>
        <v>0.00105996734813226</v>
      </c>
      <c r="BG75" s="1">
        <f t="shared" si="230"/>
        <v>0.0073724523235093</v>
      </c>
      <c r="BH75" s="1">
        <f t="shared" si="230"/>
        <v>0.000600028966915644</v>
      </c>
      <c r="BI75" s="1">
        <f t="shared" si="230"/>
        <v>0.00141244573082489</v>
      </c>
      <c r="BJ75" s="1">
        <f t="shared" si="230"/>
        <v>0.002250781359332</v>
      </c>
      <c r="BK75" s="1">
        <f t="shared" si="230"/>
        <v>0.0150097615128431</v>
      </c>
      <c r="BL75" s="1">
        <f t="shared" si="230"/>
        <v>0.0140895336520026</v>
      </c>
      <c r="BM75" s="1">
        <f t="shared" si="230"/>
        <v>0.0179817716871025</v>
      </c>
      <c r="BN75" s="1">
        <f t="shared" si="230"/>
        <v>0.0114965983441078</v>
      </c>
      <c r="BO75" s="1">
        <f t="shared" si="230"/>
        <v>0.000334044248015006</v>
      </c>
      <c r="BP75" s="1">
        <f t="shared" si="230"/>
        <v>4.85625485625485e-5</v>
      </c>
      <c r="BQ75" s="1">
        <f t="shared" si="230"/>
        <v>0.000737506637559738</v>
      </c>
      <c r="BR75" s="1">
        <f t="shared" si="230"/>
        <v>0.000907300449224368</v>
      </c>
      <c r="BS75" s="1">
        <f t="shared" si="230"/>
        <v>0.00179028391677708</v>
      </c>
      <c r="BT75" s="1">
        <f t="shared" si="230"/>
        <v>0.0119256333686543</v>
      </c>
      <c r="BU75" s="1">
        <f t="shared" si="230"/>
        <v>0.000724352077718717</v>
      </c>
      <c r="BV75" s="1">
        <f t="shared" si="230"/>
        <v>0.000770897297872058</v>
      </c>
      <c r="CA75" s="1">
        <f t="shared" si="212"/>
        <v>-6.27722785918417</v>
      </c>
      <c r="CB75" s="1">
        <f t="shared" ref="CB75:CV75" si="231">IF(BB75=0,0,LN(BB75))</f>
        <v>-4.31326795851627</v>
      </c>
      <c r="CC75" s="1">
        <f t="shared" si="231"/>
        <v>-4.49392694929746</v>
      </c>
      <c r="CD75" s="1">
        <f t="shared" si="231"/>
        <v>-4.25856448904528</v>
      </c>
      <c r="CE75" s="1">
        <f t="shared" si="231"/>
        <v>-5.1033724423296</v>
      </c>
      <c r="CF75" s="1">
        <f t="shared" si="231"/>
        <v>-6.84951717498141</v>
      </c>
      <c r="CG75" s="1">
        <f t="shared" si="231"/>
        <v>-4.9100048840968</v>
      </c>
      <c r="CH75" s="1">
        <f t="shared" si="231"/>
        <v>-7.41853262572074</v>
      </c>
      <c r="CI75" s="1">
        <f t="shared" si="231"/>
        <v>-6.56243251633671</v>
      </c>
      <c r="CJ75" s="1">
        <f t="shared" si="231"/>
        <v>-6.09647785223614</v>
      </c>
      <c r="CK75" s="1">
        <f t="shared" si="231"/>
        <v>-4.19905452201442</v>
      </c>
      <c r="CL75" s="1">
        <f t="shared" si="231"/>
        <v>-4.26232305141897</v>
      </c>
      <c r="CM75" s="1">
        <f t="shared" si="231"/>
        <v>-4.01839671824677</v>
      </c>
      <c r="CN75" s="1">
        <f t="shared" si="231"/>
        <v>-4.46570408353379</v>
      </c>
      <c r="CO75" s="1">
        <f t="shared" si="231"/>
        <v>-8.00423709467531</v>
      </c>
      <c r="CP75" s="1">
        <f t="shared" si="231"/>
        <v>-9.93265792983591</v>
      </c>
      <c r="CQ75" s="1">
        <f t="shared" si="231"/>
        <v>-7.2122354697098</v>
      </c>
      <c r="CR75" s="1">
        <f t="shared" si="231"/>
        <v>-7.00503690666662</v>
      </c>
      <c r="CS75" s="1">
        <f t="shared" si="231"/>
        <v>-6.32538105898251</v>
      </c>
      <c r="CT75" s="1">
        <f t="shared" si="231"/>
        <v>-4.42906513094275</v>
      </c>
      <c r="CU75" s="1">
        <f t="shared" si="231"/>
        <v>-7.23023298859015</v>
      </c>
      <c r="CV75" s="1">
        <f t="shared" si="231"/>
        <v>-7.16795539966533</v>
      </c>
    </row>
    <row r="76" spans="1:100">
      <c r="A76" s="1" t="s">
        <v>39</v>
      </c>
      <c r="B76" s="1">
        <v>2024</v>
      </c>
      <c r="C76" s="1">
        <v>1125.13</v>
      </c>
      <c r="D76" s="1">
        <v>104025</v>
      </c>
      <c r="E76" s="1">
        <v>5.9</v>
      </c>
      <c r="F76" s="1">
        <v>42.94</v>
      </c>
      <c r="G76" s="3">
        <v>44.8</v>
      </c>
      <c r="H76" s="1">
        <v>40.03</v>
      </c>
      <c r="I76" s="1">
        <f t="shared" si="220"/>
        <v>3701</v>
      </c>
      <c r="J76" s="3">
        <v>0.3</v>
      </c>
      <c r="K76" s="1">
        <v>11.96</v>
      </c>
      <c r="L76" s="1">
        <v>553.19</v>
      </c>
      <c r="M76" s="1">
        <f t="shared" si="183"/>
        <v>51146</v>
      </c>
      <c r="N76" s="1">
        <v>44895</v>
      </c>
      <c r="O76" s="1">
        <v>28173</v>
      </c>
      <c r="P76" s="1">
        <v>125509</v>
      </c>
      <c r="Q76" s="1">
        <v>25.71</v>
      </c>
      <c r="R76" s="1">
        <v>0.45</v>
      </c>
      <c r="S76" s="1">
        <v>12.91</v>
      </c>
      <c r="T76" s="1">
        <v>863</v>
      </c>
      <c r="U76" s="1">
        <v>108.16</v>
      </c>
      <c r="V76" s="1">
        <v>62.45</v>
      </c>
      <c r="W76" s="1">
        <v>1.46</v>
      </c>
      <c r="X76" s="1">
        <v>3.18</v>
      </c>
      <c r="AA76" s="1">
        <f t="shared" si="188"/>
        <v>0.0182</v>
      </c>
      <c r="AB76" s="1">
        <f t="shared" si="189"/>
        <v>0.5707</v>
      </c>
      <c r="AC76" s="1">
        <f t="shared" si="190"/>
        <v>0.5902</v>
      </c>
      <c r="AD76" s="1">
        <f t="shared" si="191"/>
        <v>0.7823</v>
      </c>
      <c r="AE76" s="1">
        <f t="shared" si="192"/>
        <v>0.1534</v>
      </c>
      <c r="AF76" s="1">
        <f t="shared" si="193"/>
        <v>0.0092</v>
      </c>
      <c r="AG76" s="1">
        <f t="shared" si="194"/>
        <v>0.228</v>
      </c>
      <c r="AH76" s="1">
        <f t="shared" si="195"/>
        <v>0.0024</v>
      </c>
      <c r="AI76" s="1">
        <f t="shared" si="196"/>
        <v>0.0121</v>
      </c>
      <c r="AJ76" s="1">
        <f t="shared" si="197"/>
        <v>0.0198</v>
      </c>
      <c r="AK76" s="1">
        <f t="shared" si="198"/>
        <v>0.811</v>
      </c>
      <c r="AL76" s="1">
        <f t="shared" si="199"/>
        <v>0.4238</v>
      </c>
      <c r="AM76" s="1">
        <f t="shared" si="200"/>
        <v>0.7578</v>
      </c>
      <c r="AN76" s="1">
        <f t="shared" si="201"/>
        <v>0.3147</v>
      </c>
      <c r="AO76" s="1">
        <f t="shared" si="202"/>
        <v>0.0027</v>
      </c>
      <c r="AP76" s="1">
        <f t="shared" si="203"/>
        <v>0.0003</v>
      </c>
      <c r="AQ76" s="1">
        <f t="shared" si="204"/>
        <v>0.0026</v>
      </c>
      <c r="AR76" s="1">
        <f t="shared" si="205"/>
        <v>0.0084</v>
      </c>
      <c r="AS76" s="1">
        <f t="shared" si="206"/>
        <v>0.0175</v>
      </c>
      <c r="AT76" s="1">
        <f t="shared" si="207"/>
        <v>0.4578</v>
      </c>
      <c r="AU76" s="1">
        <f t="shared" si="208"/>
        <v>0.0068</v>
      </c>
      <c r="AV76" s="1">
        <f t="shared" si="209"/>
        <v>0.006</v>
      </c>
      <c r="AW76" s="4">
        <f t="shared" si="210"/>
        <v>0.0449</v>
      </c>
      <c r="BA76" s="1">
        <f t="shared" si="221"/>
        <v>0.00208478905829391</v>
      </c>
      <c r="BB76" s="1">
        <f t="shared" si="184"/>
        <v>0.0160367549948015</v>
      </c>
      <c r="BC76" s="1">
        <f t="shared" si="185"/>
        <v>0.0121840950285094</v>
      </c>
      <c r="BD76" s="1">
        <f t="shared" ref="BD76:BV76" si="232">AD76/SUM(AD$2:AD$91)</f>
        <v>0.0141371683015158</v>
      </c>
      <c r="BE76" s="1">
        <f t="shared" si="232"/>
        <v>0.0052276623080095</v>
      </c>
      <c r="BF76" s="1">
        <f t="shared" si="232"/>
        <v>0.00112088501181803</v>
      </c>
      <c r="BG76" s="1">
        <f t="shared" si="232"/>
        <v>0.0080774585764542</v>
      </c>
      <c r="BH76" s="1">
        <f t="shared" si="232"/>
        <v>0.000496575696757774</v>
      </c>
      <c r="BI76" s="1">
        <f t="shared" si="232"/>
        <v>0.00140086830680174</v>
      </c>
      <c r="BJ76" s="1">
        <f t="shared" si="232"/>
        <v>0.00230909175724215</v>
      </c>
      <c r="BK76" s="1">
        <f t="shared" si="232"/>
        <v>0.0155227194426368</v>
      </c>
      <c r="BL76" s="1">
        <f t="shared" si="232"/>
        <v>0.0160903917049817</v>
      </c>
      <c r="BM76" s="1">
        <f t="shared" si="232"/>
        <v>0.0198754180053767</v>
      </c>
      <c r="BN76" s="1">
        <f t="shared" si="232"/>
        <v>0.0136630645728501</v>
      </c>
      <c r="BO76" s="1">
        <f t="shared" si="232"/>
        <v>0.000346892103707891</v>
      </c>
      <c r="BP76" s="1">
        <f t="shared" si="232"/>
        <v>4.85625485625485e-5</v>
      </c>
      <c r="BQ76" s="1">
        <f t="shared" si="232"/>
        <v>0.000767006903062127</v>
      </c>
      <c r="BR76" s="1">
        <f t="shared" si="232"/>
        <v>0.000929429728473743</v>
      </c>
      <c r="BS76" s="1">
        <f t="shared" si="232"/>
        <v>0.00177005471997734</v>
      </c>
      <c r="BT76" s="1">
        <f t="shared" si="232"/>
        <v>0.0125999422021</v>
      </c>
      <c r="BU76" s="1">
        <f t="shared" si="232"/>
        <v>0.000724352077718717</v>
      </c>
      <c r="BV76" s="1">
        <f t="shared" si="232"/>
        <v>0.000797479963315922</v>
      </c>
      <c r="CA76" s="1">
        <f t="shared" si="212"/>
        <v>-6.17308759993157</v>
      </c>
      <c r="CB76" s="1">
        <f t="shared" ref="CB76:CV76" si="233">IF(BB76=0,0,LN(BB76))</f>
        <v>-4.13287200406787</v>
      </c>
      <c r="CC76" s="1">
        <f t="shared" si="233"/>
        <v>-4.40762386396882</v>
      </c>
      <c r="CD76" s="1">
        <f t="shared" si="233"/>
        <v>-4.25894790013056</v>
      </c>
      <c r="CE76" s="1">
        <f t="shared" si="233"/>
        <v>-5.25379107826554</v>
      </c>
      <c r="CF76" s="1">
        <f t="shared" si="233"/>
        <v>-6.79363671658695</v>
      </c>
      <c r="CG76" s="1">
        <f t="shared" si="233"/>
        <v>-4.81867798854195</v>
      </c>
      <c r="CH76" s="1">
        <f t="shared" si="233"/>
        <v>-7.60777462535927</v>
      </c>
      <c r="CI76" s="1">
        <f t="shared" si="233"/>
        <v>-6.57066301547323</v>
      </c>
      <c r="CJ76" s="1">
        <f t="shared" si="233"/>
        <v>-6.07090101044649</v>
      </c>
      <c r="CK76" s="1">
        <f t="shared" si="233"/>
        <v>-4.16545055775723</v>
      </c>
      <c r="CL76" s="1">
        <f t="shared" si="233"/>
        <v>-4.12953297365132</v>
      </c>
      <c r="CM76" s="1">
        <f t="shared" si="233"/>
        <v>-3.91827158694584</v>
      </c>
      <c r="CN76" s="1">
        <f t="shared" si="233"/>
        <v>-4.29305910352628</v>
      </c>
      <c r="CO76" s="1">
        <f t="shared" si="233"/>
        <v>-7.96649676669246</v>
      </c>
      <c r="CP76" s="1">
        <f t="shared" si="233"/>
        <v>-9.93265792983591</v>
      </c>
      <c r="CQ76" s="1">
        <f t="shared" si="233"/>
        <v>-7.17301475655652</v>
      </c>
      <c r="CR76" s="1">
        <f t="shared" si="233"/>
        <v>-6.98093935508756</v>
      </c>
      <c r="CS76" s="1">
        <f t="shared" si="233"/>
        <v>-6.33674481763283</v>
      </c>
      <c r="CT76" s="1">
        <f t="shared" si="233"/>
        <v>-4.37406305217015</v>
      </c>
      <c r="CU76" s="1">
        <f t="shared" si="233"/>
        <v>-7.23023298859015</v>
      </c>
      <c r="CV76" s="1">
        <f t="shared" si="233"/>
        <v>-7.13405384798965</v>
      </c>
    </row>
    <row r="77" spans="1:100">
      <c r="A77" s="1" t="s">
        <v>40</v>
      </c>
      <c r="B77" s="1">
        <v>2020</v>
      </c>
      <c r="C77" s="1">
        <v>765.23</v>
      </c>
      <c r="D77" s="1">
        <v>82611</v>
      </c>
      <c r="E77" s="1">
        <v>-4.6</v>
      </c>
      <c r="F77" s="1">
        <v>48.07</v>
      </c>
      <c r="G77" s="1">
        <v>41.03</v>
      </c>
      <c r="H77" s="1">
        <v>31.32</v>
      </c>
      <c r="I77" s="1">
        <f t="shared" si="220"/>
        <v>3533</v>
      </c>
      <c r="J77" s="1">
        <v>0.05</v>
      </c>
      <c r="K77" s="1">
        <v>8.32</v>
      </c>
      <c r="L77" s="1">
        <v>251.47</v>
      </c>
      <c r="M77" s="1">
        <f t="shared" si="183"/>
        <v>28367</v>
      </c>
      <c r="N77" s="1">
        <v>33623</v>
      </c>
      <c r="O77" s="1">
        <v>18948</v>
      </c>
      <c r="P77" s="1">
        <v>87408</v>
      </c>
      <c r="Q77" s="1">
        <v>17.89</v>
      </c>
      <c r="R77" s="1">
        <v>0.72</v>
      </c>
      <c r="S77" s="1">
        <v>8.48</v>
      </c>
      <c r="T77" s="1">
        <v>200</v>
      </c>
      <c r="U77" s="1">
        <v>88.65</v>
      </c>
      <c r="V77" s="3">
        <v>58.6</v>
      </c>
      <c r="W77" s="1">
        <v>0.83</v>
      </c>
      <c r="X77" s="1">
        <v>2.01</v>
      </c>
      <c r="AA77" s="1">
        <f t="shared" si="188"/>
        <v>0.0122</v>
      </c>
      <c r="AB77" s="1">
        <f t="shared" si="189"/>
        <v>0.3994</v>
      </c>
      <c r="AC77" s="1">
        <f t="shared" si="190"/>
        <v>0.1955</v>
      </c>
      <c r="AD77" s="1">
        <f t="shared" si="191"/>
        <v>0.9793</v>
      </c>
      <c r="AE77" s="1">
        <f t="shared" si="192"/>
        <v>0.0134</v>
      </c>
      <c r="AF77" s="1">
        <f t="shared" si="193"/>
        <v>0.007</v>
      </c>
      <c r="AG77" s="1">
        <f t="shared" si="194"/>
        <v>0.2125</v>
      </c>
      <c r="AH77" s="1">
        <f t="shared" si="195"/>
        <v>0.0004</v>
      </c>
      <c r="AI77" s="1">
        <f t="shared" si="196"/>
        <v>0.0084</v>
      </c>
      <c r="AJ77" s="1">
        <f t="shared" si="197"/>
        <v>0.0087</v>
      </c>
      <c r="AK77" s="1">
        <f t="shared" si="198"/>
        <v>0.4315</v>
      </c>
      <c r="AL77" s="1">
        <f t="shared" si="199"/>
        <v>0.0899</v>
      </c>
      <c r="AM77" s="1">
        <f t="shared" si="200"/>
        <v>0.3406</v>
      </c>
      <c r="AN77" s="1">
        <f t="shared" si="201"/>
        <v>0.1598</v>
      </c>
      <c r="AO77" s="1">
        <f t="shared" si="202"/>
        <v>0.0018</v>
      </c>
      <c r="AP77" s="1">
        <f t="shared" si="203"/>
        <v>0.0006</v>
      </c>
      <c r="AQ77" s="1">
        <f t="shared" si="204"/>
        <v>0.0017</v>
      </c>
      <c r="AR77" s="1">
        <f t="shared" si="205"/>
        <v>0.0008</v>
      </c>
      <c r="AS77" s="1">
        <f t="shared" si="206"/>
        <v>0.0142</v>
      </c>
      <c r="AT77" s="1">
        <f t="shared" si="207"/>
        <v>0.3652</v>
      </c>
      <c r="AU77" s="1">
        <f t="shared" si="208"/>
        <v>0.0038</v>
      </c>
      <c r="AV77" s="1">
        <f t="shared" si="209"/>
        <v>0.0033</v>
      </c>
      <c r="AW77" s="4">
        <f t="shared" si="210"/>
        <v>0.0268</v>
      </c>
      <c r="BA77" s="1">
        <f t="shared" si="221"/>
        <v>0.00139749596215306</v>
      </c>
      <c r="BB77" s="1">
        <f t="shared" si="184"/>
        <v>0.0112231994829573</v>
      </c>
      <c r="BC77" s="1">
        <f t="shared" si="185"/>
        <v>0.00403590406315415</v>
      </c>
      <c r="BD77" s="1">
        <f t="shared" ref="BD77:BV77" si="234">AD77/SUM(AD$2:AD$91)</f>
        <v>0.0176972119617467</v>
      </c>
      <c r="BE77" s="1">
        <f t="shared" si="234"/>
        <v>0.000456653682707479</v>
      </c>
      <c r="BF77" s="1">
        <f t="shared" si="234"/>
        <v>0.000852847291600672</v>
      </c>
      <c r="BG77" s="1">
        <f t="shared" si="234"/>
        <v>0.00752833310305491</v>
      </c>
      <c r="BH77" s="1">
        <f t="shared" si="234"/>
        <v>8.27626161262957e-5</v>
      </c>
      <c r="BI77" s="1">
        <f t="shared" si="234"/>
        <v>0.000972503617945007</v>
      </c>
      <c r="BJ77" s="1">
        <f t="shared" si="234"/>
        <v>0.0010146009236367</v>
      </c>
      <c r="BK77" s="1">
        <f t="shared" si="234"/>
        <v>0.00825900547410328</v>
      </c>
      <c r="BL77" s="1">
        <f t="shared" si="234"/>
        <v>0.00341322844331725</v>
      </c>
      <c r="BM77" s="1">
        <f t="shared" si="234"/>
        <v>0.0089331847091994</v>
      </c>
      <c r="BN77" s="1">
        <f t="shared" si="234"/>
        <v>0.0069379018708022</v>
      </c>
      <c r="BO77" s="1">
        <f t="shared" si="234"/>
        <v>0.000231261402471927</v>
      </c>
      <c r="BP77" s="1">
        <f t="shared" si="234"/>
        <v>9.71250971250971e-5</v>
      </c>
      <c r="BQ77" s="1">
        <f t="shared" si="234"/>
        <v>0.000501504513540622</v>
      </c>
      <c r="BR77" s="1">
        <f t="shared" si="234"/>
        <v>8.85171169974994e-5</v>
      </c>
      <c r="BS77" s="1">
        <f t="shared" si="234"/>
        <v>0.00143627297278162</v>
      </c>
      <c r="BT77" s="1">
        <f t="shared" si="234"/>
        <v>0.0100513300397705</v>
      </c>
      <c r="BU77" s="1">
        <f t="shared" si="234"/>
        <v>0.000404784984607518</v>
      </c>
      <c r="BV77" s="1">
        <f t="shared" si="234"/>
        <v>0.000438613979823757</v>
      </c>
      <c r="CA77" s="1">
        <f t="shared" si="212"/>
        <v>-6.57307324227511</v>
      </c>
      <c r="CB77" s="1">
        <f t="shared" ref="CB77:CV77" si="235">IF(BB77=0,0,LN(BB77))</f>
        <v>-4.48977226062881</v>
      </c>
      <c r="CC77" s="1">
        <f t="shared" si="235"/>
        <v>-5.51252494705224</v>
      </c>
      <c r="CD77" s="1">
        <f t="shared" si="235"/>
        <v>-4.03434816809484</v>
      </c>
      <c r="CE77" s="1">
        <f t="shared" si="235"/>
        <v>-7.69158526024183</v>
      </c>
      <c r="CF77" s="1">
        <f t="shared" si="235"/>
        <v>-7.06693005158664</v>
      </c>
      <c r="CG77" s="1">
        <f t="shared" si="235"/>
        <v>-4.88908162913192</v>
      </c>
      <c r="CH77" s="1">
        <f t="shared" si="235"/>
        <v>-9.39953409458733</v>
      </c>
      <c r="CI77" s="1">
        <f t="shared" si="235"/>
        <v>-6.93563676222666</v>
      </c>
      <c r="CJ77" s="1">
        <f t="shared" si="235"/>
        <v>-6.89325992248644</v>
      </c>
      <c r="CK77" s="1">
        <f t="shared" si="235"/>
        <v>-4.79645110134917</v>
      </c>
      <c r="CL77" s="1">
        <f t="shared" si="235"/>
        <v>-5.68009667800795</v>
      </c>
      <c r="CM77" s="1">
        <f t="shared" si="235"/>
        <v>-4.71798231730175</v>
      </c>
      <c r="CN77" s="1">
        <f t="shared" si="235"/>
        <v>-4.97075587426447</v>
      </c>
      <c r="CO77" s="1">
        <f t="shared" si="235"/>
        <v>-8.37196187480063</v>
      </c>
      <c r="CP77" s="1">
        <f t="shared" si="235"/>
        <v>-9.23951074927596</v>
      </c>
      <c r="CQ77" s="1">
        <f t="shared" si="235"/>
        <v>-7.59789795052178</v>
      </c>
      <c r="CR77" s="1">
        <f t="shared" si="235"/>
        <v>-9.33231461225103</v>
      </c>
      <c r="CS77" s="1">
        <f t="shared" si="235"/>
        <v>-6.54570373395508</v>
      </c>
      <c r="CT77" s="1">
        <f t="shared" si="235"/>
        <v>-4.6000503109678</v>
      </c>
      <c r="CU77" s="1">
        <f t="shared" si="235"/>
        <v>-7.81215453403987</v>
      </c>
      <c r="CV77" s="1">
        <f t="shared" si="235"/>
        <v>-7.73189084874527</v>
      </c>
    </row>
    <row r="78" spans="1:100">
      <c r="A78" s="1" t="s">
        <v>40</v>
      </c>
      <c r="B78" s="1">
        <v>2021</v>
      </c>
      <c r="C78" s="1">
        <v>852.74</v>
      </c>
      <c r="D78" s="1">
        <v>99029</v>
      </c>
      <c r="E78" s="1">
        <v>12.3</v>
      </c>
      <c r="F78" s="1">
        <v>42.41</v>
      </c>
      <c r="G78" s="3">
        <v>46</v>
      </c>
      <c r="H78" s="1">
        <v>26.91</v>
      </c>
      <c r="I78" s="1">
        <f t="shared" si="220"/>
        <v>3220</v>
      </c>
      <c r="J78" s="1">
        <v>0.05</v>
      </c>
      <c r="K78" s="3">
        <v>13.5</v>
      </c>
      <c r="L78" s="1">
        <v>314.16</v>
      </c>
      <c r="M78" s="1">
        <f t="shared" si="183"/>
        <v>37592</v>
      </c>
      <c r="N78" s="1">
        <v>36985</v>
      </c>
      <c r="O78" s="1">
        <v>21146</v>
      </c>
      <c r="P78" s="1">
        <v>102102</v>
      </c>
      <c r="Q78" s="1">
        <v>29.03</v>
      </c>
      <c r="R78" s="1">
        <v>0.34</v>
      </c>
      <c r="S78" s="1">
        <v>9.07</v>
      </c>
      <c r="T78" s="1">
        <v>289</v>
      </c>
      <c r="U78" s="1">
        <v>83.57</v>
      </c>
      <c r="V78" s="1">
        <v>56.16</v>
      </c>
      <c r="W78" s="1">
        <v>0.93</v>
      </c>
      <c r="X78" s="1">
        <v>1.81</v>
      </c>
      <c r="AA78" s="1">
        <f t="shared" si="188"/>
        <v>0.0137</v>
      </c>
      <c r="AB78" s="1">
        <f t="shared" si="189"/>
        <v>0.5307</v>
      </c>
      <c r="AC78" s="1">
        <f t="shared" si="190"/>
        <v>0.8308</v>
      </c>
      <c r="AD78" s="1">
        <f t="shared" si="191"/>
        <v>0.7619</v>
      </c>
      <c r="AE78" s="1">
        <f t="shared" si="192"/>
        <v>0.198</v>
      </c>
      <c r="AF78" s="1">
        <f t="shared" si="193"/>
        <v>0.0059</v>
      </c>
      <c r="AG78" s="1">
        <f t="shared" si="194"/>
        <v>0.1837</v>
      </c>
      <c r="AH78" s="1">
        <f t="shared" si="195"/>
        <v>0.0004</v>
      </c>
      <c r="AI78" s="1">
        <f t="shared" si="196"/>
        <v>0.0136</v>
      </c>
      <c r="AJ78" s="1">
        <f t="shared" si="197"/>
        <v>0.011</v>
      </c>
      <c r="AK78" s="1">
        <f t="shared" si="198"/>
        <v>0.5852</v>
      </c>
      <c r="AL78" s="1">
        <f t="shared" si="199"/>
        <v>0.1895</v>
      </c>
      <c r="AM78" s="1">
        <f t="shared" si="200"/>
        <v>0.44</v>
      </c>
      <c r="AN78" s="1">
        <f t="shared" si="201"/>
        <v>0.2196</v>
      </c>
      <c r="AO78" s="1">
        <f t="shared" si="202"/>
        <v>0.003</v>
      </c>
      <c r="AP78" s="1">
        <f t="shared" si="203"/>
        <v>0.0002</v>
      </c>
      <c r="AQ78" s="1">
        <f t="shared" si="204"/>
        <v>0.0018</v>
      </c>
      <c r="AR78" s="1">
        <f t="shared" si="205"/>
        <v>0.0018</v>
      </c>
      <c r="AS78" s="1">
        <f t="shared" si="206"/>
        <v>0.0133</v>
      </c>
      <c r="AT78" s="1">
        <f t="shared" si="207"/>
        <v>0.3066</v>
      </c>
      <c r="AU78" s="1">
        <f t="shared" si="208"/>
        <v>0.0043</v>
      </c>
      <c r="AV78" s="1">
        <f t="shared" si="209"/>
        <v>0.0028</v>
      </c>
      <c r="AW78" s="4">
        <f t="shared" si="210"/>
        <v>0.0359</v>
      </c>
      <c r="BA78" s="1">
        <f t="shared" si="221"/>
        <v>0.00156931923618827</v>
      </c>
      <c r="BB78" s="1">
        <f t="shared" si="184"/>
        <v>0.0149127490375699</v>
      </c>
      <c r="BC78" s="1">
        <f t="shared" si="185"/>
        <v>0.0171510439676137</v>
      </c>
      <c r="BD78" s="1">
        <f t="shared" ref="BD78:BV78" si="236">AD78/SUM(AD$2:AD$91)</f>
        <v>0.013768514034162</v>
      </c>
      <c r="BE78" s="1">
        <f t="shared" si="236"/>
        <v>0.00674756934149858</v>
      </c>
      <c r="BF78" s="1">
        <f t="shared" si="236"/>
        <v>0.000718828431491995</v>
      </c>
      <c r="BG78" s="1">
        <f t="shared" si="236"/>
        <v>0.00650802254602911</v>
      </c>
      <c r="BH78" s="1">
        <f t="shared" si="236"/>
        <v>8.27626161262957e-5</v>
      </c>
      <c r="BI78" s="1">
        <f t="shared" si="236"/>
        <v>0.00157452966714906</v>
      </c>
      <c r="BJ78" s="1">
        <f t="shared" si="236"/>
        <v>0.00128282875402342</v>
      </c>
      <c r="BK78" s="1">
        <f t="shared" si="236"/>
        <v>0.0112008574819125</v>
      </c>
      <c r="BL78" s="1">
        <f t="shared" si="236"/>
        <v>0.00719473626260978</v>
      </c>
      <c r="BM78" s="1">
        <f t="shared" si="236"/>
        <v>0.0115402268703692</v>
      </c>
      <c r="BN78" s="1">
        <f t="shared" si="236"/>
        <v>0.00953418805274195</v>
      </c>
      <c r="BO78" s="1">
        <f t="shared" si="236"/>
        <v>0.000385435670786546</v>
      </c>
      <c r="BP78" s="1">
        <f t="shared" si="236"/>
        <v>3.23750323750324e-5</v>
      </c>
      <c r="BQ78" s="1">
        <f t="shared" si="236"/>
        <v>0.000531004779043011</v>
      </c>
      <c r="BR78" s="1">
        <f t="shared" si="236"/>
        <v>0.000199163513244374</v>
      </c>
      <c r="BS78" s="1">
        <f t="shared" si="236"/>
        <v>0.00134524158718278</v>
      </c>
      <c r="BT78" s="1">
        <f t="shared" si="236"/>
        <v>0.00843849340140641</v>
      </c>
      <c r="BU78" s="1">
        <f t="shared" si="236"/>
        <v>0.000458046166792718</v>
      </c>
      <c r="BV78" s="1">
        <f t="shared" si="236"/>
        <v>0.000372157316214097</v>
      </c>
      <c r="CA78" s="1">
        <f t="shared" si="212"/>
        <v>-6.45711336118024</v>
      </c>
      <c r="CB78" s="1">
        <f t="shared" ref="CB78:CV78" si="237">IF(BB78=0,0,LN(BB78))</f>
        <v>-4.20553879177668</v>
      </c>
      <c r="CC78" s="1">
        <f t="shared" si="237"/>
        <v>-4.06569623447571</v>
      </c>
      <c r="CD78" s="1">
        <f t="shared" si="237"/>
        <v>-4.28537088534263</v>
      </c>
      <c r="CE78" s="1">
        <f t="shared" si="237"/>
        <v>-4.99857293650416</v>
      </c>
      <c r="CF78" s="1">
        <f t="shared" si="237"/>
        <v>-7.23788784973028</v>
      </c>
      <c r="CG78" s="1">
        <f t="shared" si="237"/>
        <v>-5.03471962527531</v>
      </c>
      <c r="CH78" s="1">
        <f t="shared" si="237"/>
        <v>-9.39953409458733</v>
      </c>
      <c r="CI78" s="1">
        <f t="shared" si="237"/>
        <v>-6.45379867533392</v>
      </c>
      <c r="CJ78" s="1">
        <f t="shared" si="237"/>
        <v>-6.65868767534861</v>
      </c>
      <c r="CK78" s="1">
        <f t="shared" si="237"/>
        <v>-4.49176494272668</v>
      </c>
      <c r="CL78" s="1">
        <f t="shared" si="237"/>
        <v>-4.93440559496304</v>
      </c>
      <c r="CM78" s="1">
        <f t="shared" si="237"/>
        <v>-4.46191635861803</v>
      </c>
      <c r="CN78" s="1">
        <f t="shared" si="237"/>
        <v>-4.65287119796127</v>
      </c>
      <c r="CO78" s="1">
        <f t="shared" si="237"/>
        <v>-7.86113625103463</v>
      </c>
      <c r="CP78" s="1">
        <f t="shared" si="237"/>
        <v>-10.3381230379441</v>
      </c>
      <c r="CQ78" s="1">
        <f t="shared" si="237"/>
        <v>-7.54073953668184</v>
      </c>
      <c r="CR78" s="1">
        <f t="shared" si="237"/>
        <v>-8.52138439603471</v>
      </c>
      <c r="CS78" s="1">
        <f t="shared" si="237"/>
        <v>-6.61118166333459</v>
      </c>
      <c r="CT78" s="1">
        <f t="shared" si="237"/>
        <v>-4.7749514932509</v>
      </c>
      <c r="CU78" s="1">
        <f t="shared" si="237"/>
        <v>-7.68854057807269</v>
      </c>
      <c r="CV78" s="1">
        <f t="shared" si="237"/>
        <v>-7.89619390003654</v>
      </c>
    </row>
    <row r="79" spans="1:100">
      <c r="A79" s="1" t="s">
        <v>40</v>
      </c>
      <c r="B79" s="1">
        <v>2022</v>
      </c>
      <c r="C79" s="1">
        <v>886.65</v>
      </c>
      <c r="D79" s="1">
        <v>104842</v>
      </c>
      <c r="E79" s="1">
        <v>2.6</v>
      </c>
      <c r="F79" s="1">
        <v>42.85</v>
      </c>
      <c r="G79" s="1">
        <v>45.86</v>
      </c>
      <c r="H79" s="1">
        <v>27.32</v>
      </c>
      <c r="I79" s="1">
        <f t="shared" si="220"/>
        <v>3193</v>
      </c>
      <c r="J79" s="1">
        <v>0.11</v>
      </c>
      <c r="K79" s="1">
        <v>20.52</v>
      </c>
      <c r="L79" s="3">
        <v>328.3</v>
      </c>
      <c r="M79" s="1">
        <f t="shared" si="183"/>
        <v>38366</v>
      </c>
      <c r="N79" s="1">
        <v>39167</v>
      </c>
      <c r="O79" s="1">
        <v>22922</v>
      </c>
      <c r="P79" s="1">
        <v>112261</v>
      </c>
      <c r="Q79" s="1">
        <v>29.82</v>
      </c>
      <c r="R79" s="1">
        <v>0.11</v>
      </c>
      <c r="S79" s="1">
        <v>9.66</v>
      </c>
      <c r="T79" s="1">
        <v>420</v>
      </c>
      <c r="U79" s="1">
        <v>85.57</v>
      </c>
      <c r="V79" s="1">
        <v>56.78</v>
      </c>
      <c r="W79" s="1">
        <v>1.01</v>
      </c>
      <c r="X79" s="1">
        <v>2.29</v>
      </c>
      <c r="AA79" s="1">
        <f t="shared" si="188"/>
        <v>0.0143</v>
      </c>
      <c r="AB79" s="1">
        <f t="shared" si="189"/>
        <v>0.5772</v>
      </c>
      <c r="AC79" s="1">
        <f t="shared" si="190"/>
        <v>0.4662</v>
      </c>
      <c r="AD79" s="1">
        <f t="shared" si="191"/>
        <v>0.7788</v>
      </c>
      <c r="AE79" s="1">
        <f t="shared" si="192"/>
        <v>0.1928</v>
      </c>
      <c r="AF79" s="1">
        <f t="shared" si="193"/>
        <v>0.006</v>
      </c>
      <c r="AG79" s="1">
        <f t="shared" si="194"/>
        <v>0.1812</v>
      </c>
      <c r="AH79" s="1">
        <f t="shared" si="195"/>
        <v>0.0009</v>
      </c>
      <c r="AI79" s="1">
        <f t="shared" si="196"/>
        <v>0.0207</v>
      </c>
      <c r="AJ79" s="1">
        <f t="shared" si="197"/>
        <v>0.0115</v>
      </c>
      <c r="AK79" s="1">
        <f t="shared" si="198"/>
        <v>0.5981</v>
      </c>
      <c r="AL79" s="1">
        <f t="shared" si="199"/>
        <v>0.2542</v>
      </c>
      <c r="AM79" s="1">
        <f t="shared" si="200"/>
        <v>0.5203</v>
      </c>
      <c r="AN79" s="1">
        <f t="shared" si="201"/>
        <v>0.2609</v>
      </c>
      <c r="AO79" s="1">
        <f t="shared" si="202"/>
        <v>0.0031</v>
      </c>
      <c r="AP79" s="1">
        <f t="shared" si="203"/>
        <v>0</v>
      </c>
      <c r="AQ79" s="1">
        <f t="shared" si="204"/>
        <v>0.0019</v>
      </c>
      <c r="AR79" s="1">
        <f t="shared" si="205"/>
        <v>0.0033</v>
      </c>
      <c r="AS79" s="1">
        <f t="shared" si="206"/>
        <v>0.0137</v>
      </c>
      <c r="AT79" s="1">
        <f t="shared" si="207"/>
        <v>0.3215</v>
      </c>
      <c r="AU79" s="1">
        <f t="shared" si="208"/>
        <v>0.0047</v>
      </c>
      <c r="AV79" s="1">
        <f t="shared" si="209"/>
        <v>0.0039</v>
      </c>
      <c r="AW79" s="4">
        <f t="shared" si="210"/>
        <v>0.037</v>
      </c>
      <c r="BA79" s="1">
        <f t="shared" si="221"/>
        <v>0.00163804854580236</v>
      </c>
      <c r="BB79" s="1">
        <f t="shared" si="184"/>
        <v>0.0162194059628516</v>
      </c>
      <c r="BC79" s="1">
        <f t="shared" si="185"/>
        <v>0.00962423771991031</v>
      </c>
      <c r="BD79" s="1">
        <f t="shared" ref="BD79:BV79" si="238">AD79/SUM(AD$2:AD$91)</f>
        <v>0.014073918794862</v>
      </c>
      <c r="BE79" s="1">
        <f t="shared" si="238"/>
        <v>0.00657036044970164</v>
      </c>
      <c r="BF79" s="1">
        <f t="shared" si="238"/>
        <v>0.000731011964229148</v>
      </c>
      <c r="BG79" s="1">
        <f t="shared" si="238"/>
        <v>0.00641945392128729</v>
      </c>
      <c r="BH79" s="1">
        <f t="shared" si="238"/>
        <v>0.000186215886284165</v>
      </c>
      <c r="BI79" s="1">
        <f t="shared" si="238"/>
        <v>0.00239652677279305</v>
      </c>
      <c r="BJ79" s="1">
        <f t="shared" si="238"/>
        <v>0.00134113915193357</v>
      </c>
      <c r="BK79" s="1">
        <f t="shared" si="238"/>
        <v>0.0114477663361788</v>
      </c>
      <c r="BL79" s="1">
        <f t="shared" si="238"/>
        <v>0.00965119766731084</v>
      </c>
      <c r="BM79" s="1">
        <f t="shared" si="238"/>
        <v>0.0136463182742115</v>
      </c>
      <c r="BN79" s="1">
        <f t="shared" si="238"/>
        <v>0.0113272753322421</v>
      </c>
      <c r="BO79" s="1">
        <f t="shared" si="238"/>
        <v>0.000398283526479431</v>
      </c>
      <c r="BP79" s="1">
        <f t="shared" si="238"/>
        <v>0</v>
      </c>
      <c r="BQ79" s="1">
        <f t="shared" si="238"/>
        <v>0.000560505044545401</v>
      </c>
      <c r="BR79" s="1">
        <f t="shared" si="238"/>
        <v>0.000365133107614685</v>
      </c>
      <c r="BS79" s="1">
        <f t="shared" si="238"/>
        <v>0.00138569998078226</v>
      </c>
      <c r="BT79" s="1">
        <f t="shared" si="238"/>
        <v>0.00884858326337952</v>
      </c>
      <c r="BU79" s="1">
        <f t="shared" si="238"/>
        <v>0.000500655112540878</v>
      </c>
      <c r="BV79" s="1">
        <f t="shared" si="238"/>
        <v>0.000518361976155349</v>
      </c>
      <c r="CA79" s="1">
        <f t="shared" si="212"/>
        <v>-6.41424965674846</v>
      </c>
      <c r="CB79" s="1">
        <f t="shared" ref="CB79:CV79" si="239">IF(BB79=0,0,LN(BB79))</f>
        <v>-4.12154685471081</v>
      </c>
      <c r="CC79" s="1">
        <f t="shared" si="239"/>
        <v>-4.64347059987601</v>
      </c>
      <c r="CD79" s="1">
        <f t="shared" si="239"/>
        <v>-4.26343192532355</v>
      </c>
      <c r="CE79" s="1">
        <f t="shared" si="239"/>
        <v>-5.02518658502225</v>
      </c>
      <c r="CF79" s="1">
        <f t="shared" si="239"/>
        <v>-7.22108073141389</v>
      </c>
      <c r="CG79" s="1">
        <f t="shared" si="239"/>
        <v>-5.04842222388751</v>
      </c>
      <c r="CH79" s="1">
        <f t="shared" si="239"/>
        <v>-8.588603878371</v>
      </c>
      <c r="CI79" s="1">
        <f t="shared" si="239"/>
        <v>-6.0337347678046</v>
      </c>
      <c r="CJ79" s="1">
        <f t="shared" si="239"/>
        <v>-6.61423591277778</v>
      </c>
      <c r="CK79" s="1">
        <f t="shared" si="239"/>
        <v>-4.46996064782214</v>
      </c>
      <c r="CL79" s="1">
        <f t="shared" si="239"/>
        <v>-4.64067326073017</v>
      </c>
      <c r="CM79" s="1">
        <f t="shared" si="239"/>
        <v>-4.29428551723408</v>
      </c>
      <c r="CN79" s="1">
        <f t="shared" si="239"/>
        <v>-4.48054171545396</v>
      </c>
      <c r="CO79" s="1">
        <f t="shared" si="239"/>
        <v>-7.82834642821164</v>
      </c>
      <c r="CP79" s="1">
        <f t="shared" si="239"/>
        <v>0</v>
      </c>
      <c r="CQ79" s="1">
        <f t="shared" si="239"/>
        <v>-7.48667231541156</v>
      </c>
      <c r="CR79" s="1">
        <f t="shared" si="239"/>
        <v>-7.91524859246439</v>
      </c>
      <c r="CS79" s="1">
        <f t="shared" si="239"/>
        <v>-6.58154986572822</v>
      </c>
      <c r="CT79" s="1">
        <f t="shared" si="239"/>
        <v>-4.72749791601094</v>
      </c>
      <c r="CU79" s="1">
        <f t="shared" si="239"/>
        <v>-7.5995930920562</v>
      </c>
      <c r="CV79" s="1">
        <f t="shared" si="239"/>
        <v>-7.5648367640821</v>
      </c>
    </row>
    <row r="80" spans="1:100">
      <c r="A80" s="1" t="s">
        <v>40</v>
      </c>
      <c r="B80" s="1">
        <v>2023</v>
      </c>
      <c r="C80" s="1">
        <v>904.92</v>
      </c>
      <c r="D80" s="1">
        <v>106624</v>
      </c>
      <c r="E80" s="1">
        <v>6.3</v>
      </c>
      <c r="F80" s="1">
        <v>40.31</v>
      </c>
      <c r="G80" s="1">
        <v>49.17</v>
      </c>
      <c r="H80" s="1">
        <v>33.11</v>
      </c>
      <c r="I80" s="1">
        <f t="shared" si="220"/>
        <v>3934</v>
      </c>
      <c r="J80" s="1">
        <v>0.13</v>
      </c>
      <c r="K80" s="1">
        <v>15.89</v>
      </c>
      <c r="L80" s="1">
        <v>362.03</v>
      </c>
      <c r="M80" s="1">
        <f t="shared" si="183"/>
        <v>43012</v>
      </c>
      <c r="N80" s="1">
        <v>41462</v>
      </c>
      <c r="O80" s="1">
        <v>24791</v>
      </c>
      <c r="P80" s="1">
        <v>128989</v>
      </c>
      <c r="Q80" s="1">
        <v>35.89</v>
      </c>
      <c r="R80" s="1">
        <v>0.22</v>
      </c>
      <c r="S80" s="1">
        <v>10.61</v>
      </c>
      <c r="T80" s="1">
        <v>615</v>
      </c>
      <c r="U80" s="1">
        <v>84.17</v>
      </c>
      <c r="V80" s="1">
        <v>57.83</v>
      </c>
      <c r="W80" s="1">
        <v>1.2</v>
      </c>
      <c r="X80" s="1">
        <v>2.77</v>
      </c>
      <c r="AA80" s="1">
        <f t="shared" si="188"/>
        <v>0.0146</v>
      </c>
      <c r="AB80" s="1">
        <f t="shared" si="189"/>
        <v>0.5914</v>
      </c>
      <c r="AC80" s="1">
        <f t="shared" si="190"/>
        <v>0.6053</v>
      </c>
      <c r="AD80" s="1">
        <f t="shared" si="191"/>
        <v>0.6813</v>
      </c>
      <c r="AE80" s="1">
        <f t="shared" si="192"/>
        <v>0.3158</v>
      </c>
      <c r="AF80" s="1">
        <f t="shared" si="193"/>
        <v>0.0074</v>
      </c>
      <c r="AG80" s="1">
        <f t="shared" si="194"/>
        <v>0.2495</v>
      </c>
      <c r="AH80" s="1">
        <f t="shared" si="195"/>
        <v>0.001</v>
      </c>
      <c r="AI80" s="1">
        <f t="shared" si="196"/>
        <v>0.016</v>
      </c>
      <c r="AJ80" s="1">
        <f t="shared" si="197"/>
        <v>0.0127</v>
      </c>
      <c r="AK80" s="1">
        <f t="shared" si="198"/>
        <v>0.6755</v>
      </c>
      <c r="AL80" s="1">
        <f t="shared" si="199"/>
        <v>0.3221</v>
      </c>
      <c r="AM80" s="1">
        <f t="shared" si="200"/>
        <v>0.6048</v>
      </c>
      <c r="AN80" s="1">
        <f t="shared" si="201"/>
        <v>0.3289</v>
      </c>
      <c r="AO80" s="1">
        <f t="shared" si="202"/>
        <v>0.0038</v>
      </c>
      <c r="AP80" s="1">
        <f t="shared" si="203"/>
        <v>0.0001</v>
      </c>
      <c r="AQ80" s="1">
        <f t="shared" si="204"/>
        <v>0.0021</v>
      </c>
      <c r="AR80" s="1">
        <f t="shared" si="205"/>
        <v>0.0055</v>
      </c>
      <c r="AS80" s="1">
        <f t="shared" si="206"/>
        <v>0.0134</v>
      </c>
      <c r="AT80" s="1">
        <f t="shared" si="207"/>
        <v>0.3467</v>
      </c>
      <c r="AU80" s="1">
        <f t="shared" si="208"/>
        <v>0.0056</v>
      </c>
      <c r="AV80" s="1">
        <f t="shared" si="209"/>
        <v>0.005</v>
      </c>
      <c r="AW80" s="4">
        <f t="shared" si="210"/>
        <v>0.0428</v>
      </c>
      <c r="BA80" s="1">
        <f t="shared" si="221"/>
        <v>0.0016724132006094</v>
      </c>
      <c r="BB80" s="1">
        <f t="shared" si="184"/>
        <v>0.0166184280776688</v>
      </c>
      <c r="BC80" s="1">
        <f t="shared" si="185"/>
        <v>0.012495819587863</v>
      </c>
      <c r="BD80" s="1">
        <f t="shared" ref="BD80:BV80" si="240">AD80/SUM(AD$2:AD$91)</f>
        <v>0.0123119682523619</v>
      </c>
      <c r="BE80" s="1">
        <f t="shared" si="240"/>
        <v>0.0107620323133599</v>
      </c>
      <c r="BF80" s="1">
        <f t="shared" si="240"/>
        <v>0.000901581422549282</v>
      </c>
      <c r="BG80" s="1">
        <f t="shared" si="240"/>
        <v>0.00883914874923388</v>
      </c>
      <c r="BH80" s="1">
        <f t="shared" si="240"/>
        <v>0.000206906540315739</v>
      </c>
      <c r="BI80" s="1">
        <f t="shared" si="240"/>
        <v>0.00185238784370478</v>
      </c>
      <c r="BJ80" s="1">
        <f t="shared" si="240"/>
        <v>0.00148108410691795</v>
      </c>
      <c r="BK80" s="1">
        <f t="shared" si="240"/>
        <v>0.012929219461777</v>
      </c>
      <c r="BL80" s="1">
        <f t="shared" si="240"/>
        <v>0.0122291532991378</v>
      </c>
      <c r="BM80" s="1">
        <f t="shared" si="240"/>
        <v>0.0158625663890892</v>
      </c>
      <c r="BN80" s="1">
        <f t="shared" si="240"/>
        <v>0.0142795740006686</v>
      </c>
      <c r="BO80" s="1">
        <f t="shared" si="240"/>
        <v>0.000488218516329625</v>
      </c>
      <c r="BP80" s="1">
        <f t="shared" si="240"/>
        <v>1.61875161875162e-5</v>
      </c>
      <c r="BQ80" s="1">
        <f t="shared" si="240"/>
        <v>0.00061950557555018</v>
      </c>
      <c r="BR80" s="1">
        <f t="shared" si="240"/>
        <v>0.000608555179357808</v>
      </c>
      <c r="BS80" s="1">
        <f t="shared" si="240"/>
        <v>0.00135535618558265</v>
      </c>
      <c r="BT80" s="1">
        <f t="shared" si="240"/>
        <v>0.00954215806349512</v>
      </c>
      <c r="BU80" s="1">
        <f t="shared" si="240"/>
        <v>0.000596525240474238</v>
      </c>
      <c r="BV80" s="1">
        <f t="shared" si="240"/>
        <v>0.000664566636096602</v>
      </c>
      <c r="CA80" s="1">
        <f t="shared" si="212"/>
        <v>-6.39348766530003</v>
      </c>
      <c r="CB80" s="1">
        <f t="shared" ref="CB80:CV80" si="241">IF(BB80=0,0,LN(BB80))</f>
        <v>-4.09724307419215</v>
      </c>
      <c r="CC80" s="1">
        <f t="shared" si="241"/>
        <v>-4.38236112358002</v>
      </c>
      <c r="CD80" s="1">
        <f t="shared" si="241"/>
        <v>-4.39718346104197</v>
      </c>
      <c r="CE80" s="1">
        <f t="shared" si="241"/>
        <v>-4.53173086537715</v>
      </c>
      <c r="CF80" s="1">
        <f t="shared" si="241"/>
        <v>-7.01136020043182</v>
      </c>
      <c r="CG80" s="1">
        <f t="shared" si="241"/>
        <v>-4.72856470230481</v>
      </c>
      <c r="CH80" s="1">
        <f t="shared" si="241"/>
        <v>-8.48324336271317</v>
      </c>
      <c r="CI80" s="1">
        <f t="shared" si="241"/>
        <v>-6.29127974583614</v>
      </c>
      <c r="CJ80" s="1">
        <f t="shared" si="241"/>
        <v>-6.51498095468243</v>
      </c>
      <c r="CK80" s="1">
        <f t="shared" si="241"/>
        <v>-4.34826545447239</v>
      </c>
      <c r="CL80" s="1">
        <f t="shared" si="241"/>
        <v>-4.40393256314837</v>
      </c>
      <c r="CM80" s="1">
        <f t="shared" si="241"/>
        <v>-4.14379326066502</v>
      </c>
      <c r="CN80" s="1">
        <f t="shared" si="241"/>
        <v>-4.24892515440163</v>
      </c>
      <c r="CO80" s="1">
        <f t="shared" si="241"/>
        <v>-7.6247474729704</v>
      </c>
      <c r="CP80" s="1">
        <f t="shared" si="241"/>
        <v>-11.031270218504</v>
      </c>
      <c r="CQ80" s="1">
        <f t="shared" si="241"/>
        <v>-7.38658885685458</v>
      </c>
      <c r="CR80" s="1">
        <f t="shared" si="241"/>
        <v>-7.4044229686984</v>
      </c>
      <c r="CS80" s="1">
        <f t="shared" si="241"/>
        <v>-6.60369099160543</v>
      </c>
      <c r="CT80" s="1">
        <f t="shared" si="241"/>
        <v>-4.65203560699764</v>
      </c>
      <c r="CU80" s="1">
        <f t="shared" si="241"/>
        <v>-7.4243890030311</v>
      </c>
      <c r="CV80" s="1">
        <f t="shared" si="241"/>
        <v>-7.3163754047836</v>
      </c>
    </row>
    <row r="81" spans="1:100">
      <c r="A81" s="1" t="s">
        <v>40</v>
      </c>
      <c r="B81" s="1">
        <v>2024</v>
      </c>
      <c r="C81" s="1">
        <v>951.97</v>
      </c>
      <c r="D81" s="1">
        <v>113831</v>
      </c>
      <c r="E81" s="1">
        <v>5.2</v>
      </c>
      <c r="F81" s="1">
        <v>41.22</v>
      </c>
      <c r="G81" s="1">
        <v>48.97</v>
      </c>
      <c r="H81" s="1">
        <v>35.21</v>
      </c>
      <c r="I81" s="1">
        <f t="shared" si="220"/>
        <v>4238</v>
      </c>
      <c r="J81" s="1">
        <v>0.29</v>
      </c>
      <c r="K81" s="3">
        <v>10.7</v>
      </c>
      <c r="L81" s="1">
        <v>378.26</v>
      </c>
      <c r="M81" s="1">
        <f t="shared" si="183"/>
        <v>45524</v>
      </c>
      <c r="N81" s="1">
        <v>43046</v>
      </c>
      <c r="O81" s="1">
        <v>26162</v>
      </c>
      <c r="P81" s="1">
        <v>144013</v>
      </c>
      <c r="Q81" s="1">
        <v>49.29</v>
      </c>
      <c r="R81" s="1">
        <v>0.25</v>
      </c>
      <c r="S81" s="1">
        <v>15.19</v>
      </c>
      <c r="T81" s="1">
        <v>767</v>
      </c>
      <c r="U81" s="1">
        <v>83.09</v>
      </c>
      <c r="V81" s="1">
        <v>58.84</v>
      </c>
      <c r="W81" s="3">
        <v>1.34</v>
      </c>
      <c r="X81" s="1">
        <v>3.83</v>
      </c>
      <c r="AA81" s="1">
        <f t="shared" si="188"/>
        <v>0.0154</v>
      </c>
      <c r="AB81" s="1">
        <f t="shared" si="189"/>
        <v>0.6491</v>
      </c>
      <c r="AC81" s="1">
        <f t="shared" si="190"/>
        <v>0.5639</v>
      </c>
      <c r="AD81" s="1">
        <f t="shared" si="191"/>
        <v>0.7162</v>
      </c>
      <c r="AE81" s="1">
        <f t="shared" si="192"/>
        <v>0.3083</v>
      </c>
      <c r="AF81" s="1">
        <f t="shared" si="193"/>
        <v>0.008</v>
      </c>
      <c r="AG81" s="1">
        <f t="shared" si="194"/>
        <v>0.2775</v>
      </c>
      <c r="AH81" s="1">
        <f t="shared" si="195"/>
        <v>0.0023</v>
      </c>
      <c r="AI81" s="1">
        <f t="shared" si="196"/>
        <v>0.0108</v>
      </c>
      <c r="AJ81" s="1">
        <f t="shared" si="197"/>
        <v>0.0133</v>
      </c>
      <c r="AK81" s="1">
        <f t="shared" si="198"/>
        <v>0.7173</v>
      </c>
      <c r="AL81" s="1">
        <f t="shared" si="199"/>
        <v>0.3691</v>
      </c>
      <c r="AM81" s="1">
        <f t="shared" si="200"/>
        <v>0.6668</v>
      </c>
      <c r="AN81" s="1">
        <f t="shared" si="201"/>
        <v>0.39</v>
      </c>
      <c r="AO81" s="1">
        <f t="shared" si="202"/>
        <v>0.0053</v>
      </c>
      <c r="AP81" s="1">
        <f t="shared" si="203"/>
        <v>0.0001</v>
      </c>
      <c r="AQ81" s="1">
        <f t="shared" si="204"/>
        <v>0.0031</v>
      </c>
      <c r="AR81" s="1">
        <f t="shared" si="205"/>
        <v>0.0073</v>
      </c>
      <c r="AS81" s="1">
        <f t="shared" si="206"/>
        <v>0.0132</v>
      </c>
      <c r="AT81" s="1">
        <f t="shared" si="207"/>
        <v>0.371</v>
      </c>
      <c r="AU81" s="1">
        <f t="shared" si="208"/>
        <v>0.0062</v>
      </c>
      <c r="AV81" s="1">
        <f t="shared" si="209"/>
        <v>0.0075</v>
      </c>
      <c r="AW81" s="4">
        <f t="shared" si="210"/>
        <v>0.046</v>
      </c>
      <c r="BA81" s="1">
        <f t="shared" si="221"/>
        <v>0.00176405228009485</v>
      </c>
      <c r="BB81" s="1">
        <f t="shared" si="184"/>
        <v>0.0182398066709754</v>
      </c>
      <c r="BC81" s="1">
        <f t="shared" si="185"/>
        <v>0.0116411575509597</v>
      </c>
      <c r="BD81" s="1">
        <f t="shared" ref="BD81:BV81" si="242">AD81/SUM(AD$2:AD$91)</f>
        <v>0.0129426561901389</v>
      </c>
      <c r="BE81" s="1">
        <f t="shared" si="242"/>
        <v>0.0105064425655758</v>
      </c>
      <c r="BF81" s="1">
        <f t="shared" si="242"/>
        <v>0.000974682618972197</v>
      </c>
      <c r="BG81" s="1">
        <f t="shared" si="242"/>
        <v>0.00983111734634229</v>
      </c>
      <c r="BH81" s="1">
        <f t="shared" si="242"/>
        <v>0.0004758850427262</v>
      </c>
      <c r="BI81" s="1">
        <f t="shared" si="242"/>
        <v>0.00125036179450072</v>
      </c>
      <c r="BJ81" s="1">
        <f t="shared" si="242"/>
        <v>0.00155105658441013</v>
      </c>
      <c r="BK81" s="1">
        <f t="shared" si="242"/>
        <v>0.013729280710485</v>
      </c>
      <c r="BL81" s="1">
        <f t="shared" si="242"/>
        <v>0.0140135997600489</v>
      </c>
      <c r="BM81" s="1">
        <f t="shared" si="242"/>
        <v>0.0174886892662776</v>
      </c>
      <c r="BN81" s="1">
        <f t="shared" si="242"/>
        <v>0.0169323011865636</v>
      </c>
      <c r="BO81" s="1">
        <f t="shared" si="242"/>
        <v>0.000680936351722898</v>
      </c>
      <c r="BP81" s="1">
        <f t="shared" si="242"/>
        <v>1.61875161875162e-5</v>
      </c>
      <c r="BQ81" s="1">
        <f t="shared" si="242"/>
        <v>0.000914508230574075</v>
      </c>
      <c r="BR81" s="1">
        <f t="shared" si="242"/>
        <v>0.000807718692602182</v>
      </c>
      <c r="BS81" s="1">
        <f t="shared" si="242"/>
        <v>0.00133512698878291</v>
      </c>
      <c r="BT81" s="1">
        <f t="shared" si="242"/>
        <v>0.0102109623350352</v>
      </c>
      <c r="BU81" s="1">
        <f t="shared" si="242"/>
        <v>0.000660438659096477</v>
      </c>
      <c r="BV81" s="1">
        <f t="shared" si="242"/>
        <v>0.000996849954144902</v>
      </c>
      <c r="CA81" s="1">
        <f t="shared" si="212"/>
        <v>-6.34014168459474</v>
      </c>
      <c r="CB81" s="1">
        <f t="shared" ref="CB81:CV81" si="243">IF(BB81=0,0,LN(BB81))</f>
        <v>-4.00414889357111</v>
      </c>
      <c r="CC81" s="1">
        <f t="shared" si="243"/>
        <v>-4.45320839566453</v>
      </c>
      <c r="CD81" s="1">
        <f t="shared" si="243"/>
        <v>-4.34722674125726</v>
      </c>
      <c r="CE81" s="1">
        <f t="shared" si="243"/>
        <v>-4.55576663230659</v>
      </c>
      <c r="CF81" s="1">
        <f t="shared" si="243"/>
        <v>-6.93339865896211</v>
      </c>
      <c r="CG81" s="1">
        <f t="shared" si="243"/>
        <v>-4.6222026843099</v>
      </c>
      <c r="CH81" s="1">
        <f t="shared" si="243"/>
        <v>-7.65033423977807</v>
      </c>
      <c r="CI81" s="1">
        <f t="shared" si="243"/>
        <v>-6.68432233394575</v>
      </c>
      <c r="CJ81" s="1">
        <f t="shared" si="243"/>
        <v>-6.46881891291927</v>
      </c>
      <c r="CK81" s="1">
        <f t="shared" si="243"/>
        <v>-4.28822444874026</v>
      </c>
      <c r="CL81" s="1">
        <f t="shared" si="243"/>
        <v>-4.26772700944957</v>
      </c>
      <c r="CM81" s="1">
        <f t="shared" si="243"/>
        <v>-4.0462009346537</v>
      </c>
      <c r="CN81" s="1">
        <f t="shared" si="243"/>
        <v>-4.07853216847295</v>
      </c>
      <c r="CO81" s="1">
        <f t="shared" si="243"/>
        <v>-7.29204171914467</v>
      </c>
      <c r="CP81" s="1">
        <f t="shared" si="243"/>
        <v>-11.031270218504</v>
      </c>
      <c r="CQ81" s="1">
        <f t="shared" si="243"/>
        <v>-6.99712409009285</v>
      </c>
      <c r="CR81" s="1">
        <f t="shared" si="243"/>
        <v>-7.12129671278248</v>
      </c>
      <c r="CS81" s="1">
        <f t="shared" si="243"/>
        <v>-6.61872886896997</v>
      </c>
      <c r="CT81" s="1">
        <f t="shared" si="243"/>
        <v>-4.58429339708118</v>
      </c>
      <c r="CU81" s="1">
        <f t="shared" si="243"/>
        <v>-7.32260630872116</v>
      </c>
      <c r="CV81" s="1">
        <f t="shared" si="243"/>
        <v>-6.91091029667544</v>
      </c>
    </row>
    <row r="82" spans="1:100">
      <c r="A82" s="1" t="s">
        <v>41</v>
      </c>
      <c r="B82" s="1">
        <v>2020</v>
      </c>
      <c r="C82" s="1">
        <v>617.49</v>
      </c>
      <c r="D82" s="1">
        <v>51329</v>
      </c>
      <c r="E82" s="1">
        <v>-5.6</v>
      </c>
      <c r="F82" s="1">
        <v>44.35</v>
      </c>
      <c r="G82" s="1">
        <v>41.04</v>
      </c>
      <c r="H82" s="1">
        <v>14.23</v>
      </c>
      <c r="I82" s="1">
        <f t="shared" si="220"/>
        <v>1228</v>
      </c>
      <c r="J82" s="1">
        <v>0.08</v>
      </c>
      <c r="K82" s="1">
        <v>1.46</v>
      </c>
      <c r="L82" s="1">
        <v>298.82</v>
      </c>
      <c r="M82" s="1">
        <f t="shared" si="183"/>
        <v>25791</v>
      </c>
      <c r="N82" s="1">
        <v>31308</v>
      </c>
      <c r="O82" s="1">
        <v>18356</v>
      </c>
      <c r="P82" s="1">
        <v>64488</v>
      </c>
      <c r="Q82" s="1">
        <v>25.66</v>
      </c>
      <c r="R82" s="1">
        <v>3.58</v>
      </c>
      <c r="S82" s="1">
        <v>9.17</v>
      </c>
      <c r="T82" s="1">
        <v>134</v>
      </c>
      <c r="U82" s="1">
        <v>115.86</v>
      </c>
      <c r="V82" s="1">
        <v>43.41</v>
      </c>
      <c r="W82" s="1">
        <v>0.22</v>
      </c>
      <c r="X82" s="1">
        <v>1.86</v>
      </c>
      <c r="AA82" s="1">
        <f t="shared" si="188"/>
        <v>0.0098</v>
      </c>
      <c r="AB82" s="1">
        <f t="shared" si="189"/>
        <v>0.1493</v>
      </c>
      <c r="AC82" s="1">
        <f t="shared" si="190"/>
        <v>0.1579</v>
      </c>
      <c r="AD82" s="1">
        <f t="shared" si="191"/>
        <v>0.8364</v>
      </c>
      <c r="AE82" s="1">
        <f t="shared" si="192"/>
        <v>0.0137</v>
      </c>
      <c r="AF82" s="1">
        <f t="shared" si="193"/>
        <v>0.0026</v>
      </c>
      <c r="AG82" s="1">
        <f t="shared" si="194"/>
        <v>0</v>
      </c>
      <c r="AH82" s="1">
        <f t="shared" si="195"/>
        <v>0.0006</v>
      </c>
      <c r="AI82" s="1">
        <f t="shared" si="196"/>
        <v>0.0015</v>
      </c>
      <c r="AJ82" s="1">
        <f t="shared" si="197"/>
        <v>0.0104</v>
      </c>
      <c r="AK82" s="1">
        <f t="shared" si="198"/>
        <v>0.3886</v>
      </c>
      <c r="AL82" s="1">
        <f t="shared" si="199"/>
        <v>0.0214</v>
      </c>
      <c r="AM82" s="1">
        <f t="shared" si="200"/>
        <v>0.3138</v>
      </c>
      <c r="AN82" s="1">
        <f t="shared" si="201"/>
        <v>0.0666</v>
      </c>
      <c r="AO82" s="1">
        <f t="shared" si="202"/>
        <v>0.0027</v>
      </c>
      <c r="AP82" s="1">
        <f t="shared" si="203"/>
        <v>0.0031</v>
      </c>
      <c r="AQ82" s="1">
        <f t="shared" si="204"/>
        <v>0.0018</v>
      </c>
      <c r="AR82" s="1">
        <f t="shared" si="205"/>
        <v>0</v>
      </c>
      <c r="AS82" s="1">
        <f t="shared" si="206"/>
        <v>0.0189</v>
      </c>
      <c r="AT82" s="1">
        <f t="shared" si="207"/>
        <v>0</v>
      </c>
      <c r="AU82" s="1">
        <f t="shared" si="208"/>
        <v>0.001</v>
      </c>
      <c r="AV82" s="1">
        <f t="shared" si="209"/>
        <v>0.0029</v>
      </c>
      <c r="AW82" s="4">
        <f t="shared" si="210"/>
        <v>0.0149</v>
      </c>
      <c r="BA82" s="1">
        <f t="shared" si="221"/>
        <v>0.00112257872369672</v>
      </c>
      <c r="BB82" s="1">
        <f t="shared" si="184"/>
        <v>0.00419535223536685</v>
      </c>
      <c r="BC82" s="1">
        <f t="shared" si="185"/>
        <v>0.00325968926635315</v>
      </c>
      <c r="BD82" s="1">
        <f t="shared" ref="BD82:BV82" si="244">AD82/SUM(AD$2:AD$91)</f>
        <v>0.0151148249615082</v>
      </c>
      <c r="BE82" s="1">
        <f t="shared" si="244"/>
        <v>0.000466877272618841</v>
      </c>
      <c r="BF82" s="1">
        <f t="shared" si="244"/>
        <v>0.000316771851165964</v>
      </c>
      <c r="BG82" s="1">
        <f t="shared" si="244"/>
        <v>0</v>
      </c>
      <c r="BH82" s="1">
        <f t="shared" si="244"/>
        <v>0.000124143924189443</v>
      </c>
      <c r="BI82" s="1">
        <f t="shared" si="244"/>
        <v>0.000173661360347323</v>
      </c>
      <c r="BJ82" s="1">
        <f t="shared" si="244"/>
        <v>0.00121285627653123</v>
      </c>
      <c r="BK82" s="1">
        <f t="shared" si="244"/>
        <v>0.00743788998200819</v>
      </c>
      <c r="BL82" s="1">
        <f t="shared" si="244"/>
        <v>0.000812492643904217</v>
      </c>
      <c r="BM82" s="1">
        <f t="shared" si="244"/>
        <v>0.00823027998164055</v>
      </c>
      <c r="BN82" s="1">
        <f t="shared" si="244"/>
        <v>0.00289151604878239</v>
      </c>
      <c r="BO82" s="1">
        <f t="shared" si="244"/>
        <v>0.000346892103707891</v>
      </c>
      <c r="BP82" s="1">
        <f t="shared" si="244"/>
        <v>0.000501813001813002</v>
      </c>
      <c r="BQ82" s="1">
        <f t="shared" si="244"/>
        <v>0.000531004779043011</v>
      </c>
      <c r="BR82" s="1">
        <f t="shared" si="244"/>
        <v>0</v>
      </c>
      <c r="BS82" s="1">
        <f t="shared" si="244"/>
        <v>0.00191165909757553</v>
      </c>
      <c r="BT82" s="1">
        <f t="shared" si="244"/>
        <v>0</v>
      </c>
      <c r="BU82" s="1">
        <f t="shared" si="244"/>
        <v>0.0001065223643704</v>
      </c>
      <c r="BV82" s="1">
        <f t="shared" si="244"/>
        <v>0.000385448648936029</v>
      </c>
      <c r="CA82" s="1">
        <f t="shared" si="212"/>
        <v>-6.79212680833779</v>
      </c>
      <c r="CB82" s="1">
        <f t="shared" ref="CB82:CV82" si="245">IF(BB82=0,0,LN(BB82))</f>
        <v>-5.47377797706538</v>
      </c>
      <c r="CC82" s="1">
        <f t="shared" si="245"/>
        <v>-5.72612340521607</v>
      </c>
      <c r="CD82" s="1">
        <f t="shared" si="245"/>
        <v>-4.19207923126711</v>
      </c>
      <c r="CE82" s="1">
        <f t="shared" si="245"/>
        <v>-7.66944413436461</v>
      </c>
      <c r="CF82" s="1">
        <f t="shared" si="245"/>
        <v>-8.05732875561451</v>
      </c>
      <c r="CG82" s="1">
        <f t="shared" si="245"/>
        <v>0</v>
      </c>
      <c r="CH82" s="1">
        <f t="shared" si="245"/>
        <v>-8.99406898647916</v>
      </c>
      <c r="CI82" s="1">
        <f t="shared" si="245"/>
        <v>-8.65840335996776</v>
      </c>
      <c r="CJ82" s="1">
        <f t="shared" si="245"/>
        <v>-6.71477714199965</v>
      </c>
      <c r="CK82" s="1">
        <f t="shared" si="245"/>
        <v>-4.90116807492931</v>
      </c>
      <c r="CL82" s="1">
        <f t="shared" si="245"/>
        <v>-7.11540369745771</v>
      </c>
      <c r="CM82" s="1">
        <f t="shared" si="245"/>
        <v>-4.79993524523141</v>
      </c>
      <c r="CN82" s="1">
        <f t="shared" si="245"/>
        <v>-5.8459743300503</v>
      </c>
      <c r="CO82" s="1">
        <f t="shared" si="245"/>
        <v>-7.96649676669246</v>
      </c>
      <c r="CP82" s="1">
        <f t="shared" si="245"/>
        <v>-7.59728301401887</v>
      </c>
      <c r="CQ82" s="1">
        <f t="shared" si="245"/>
        <v>-7.54073953668184</v>
      </c>
      <c r="CR82" s="1">
        <f t="shared" si="245"/>
        <v>0</v>
      </c>
      <c r="CS82" s="1">
        <f t="shared" si="245"/>
        <v>-6.2597837764967</v>
      </c>
      <c r="CT82" s="1">
        <f t="shared" si="245"/>
        <v>0</v>
      </c>
      <c r="CU82" s="1">
        <f t="shared" si="245"/>
        <v>-9.14715560077221</v>
      </c>
      <c r="CV82" s="1">
        <f t="shared" si="245"/>
        <v>-7.86110258022527</v>
      </c>
    </row>
    <row r="83" spans="1:100">
      <c r="A83" s="1" t="s">
        <v>41</v>
      </c>
      <c r="B83" s="1">
        <v>2021</v>
      </c>
      <c r="C83" s="1">
        <v>718.89</v>
      </c>
      <c r="D83" s="1">
        <v>63495</v>
      </c>
      <c r="E83" s="1">
        <v>12.1</v>
      </c>
      <c r="F83" s="1">
        <v>43.42</v>
      </c>
      <c r="G83" s="1">
        <v>41.95</v>
      </c>
      <c r="H83" s="1">
        <v>21.37</v>
      </c>
      <c r="I83" s="1">
        <f t="shared" si="220"/>
        <v>1933</v>
      </c>
      <c r="J83" s="1">
        <v>0.03</v>
      </c>
      <c r="K83" s="1">
        <v>1.94</v>
      </c>
      <c r="L83" s="1">
        <v>385.37</v>
      </c>
      <c r="M83" s="1">
        <f t="shared" si="183"/>
        <v>34850</v>
      </c>
      <c r="N83" s="1">
        <v>34408</v>
      </c>
      <c r="O83" s="1">
        <v>20577</v>
      </c>
      <c r="P83" s="1">
        <v>74417</v>
      </c>
      <c r="Q83" s="1">
        <v>25.64</v>
      </c>
      <c r="R83" s="1">
        <v>2.02</v>
      </c>
      <c r="S83" s="1">
        <v>9.86</v>
      </c>
      <c r="T83" s="1">
        <v>370</v>
      </c>
      <c r="U83" s="1">
        <v>110.58</v>
      </c>
      <c r="V83" s="1">
        <v>45.31</v>
      </c>
      <c r="W83" s="1">
        <v>0.29</v>
      </c>
      <c r="X83" s="1">
        <v>1.93</v>
      </c>
      <c r="AA83" s="1">
        <f t="shared" si="188"/>
        <v>0.0115</v>
      </c>
      <c r="AB83" s="1">
        <f t="shared" si="189"/>
        <v>0.2466</v>
      </c>
      <c r="AC83" s="1">
        <f t="shared" si="190"/>
        <v>0.8233</v>
      </c>
      <c r="AD83" s="1">
        <f t="shared" si="191"/>
        <v>0.8007</v>
      </c>
      <c r="AE83" s="1">
        <f t="shared" si="192"/>
        <v>0.0475</v>
      </c>
      <c r="AF83" s="1">
        <f t="shared" si="193"/>
        <v>0.0045</v>
      </c>
      <c r="AG83" s="1">
        <f t="shared" si="194"/>
        <v>0.065</v>
      </c>
      <c r="AH83" s="1">
        <f t="shared" si="195"/>
        <v>0.0002</v>
      </c>
      <c r="AI83" s="1">
        <f t="shared" si="196"/>
        <v>0.002</v>
      </c>
      <c r="AJ83" s="1">
        <f t="shared" si="197"/>
        <v>0.0136</v>
      </c>
      <c r="AK83" s="1">
        <f t="shared" si="198"/>
        <v>0.5395</v>
      </c>
      <c r="AL83" s="1">
        <f t="shared" si="199"/>
        <v>0.1132</v>
      </c>
      <c r="AM83" s="1">
        <f t="shared" si="200"/>
        <v>0.4143</v>
      </c>
      <c r="AN83" s="1">
        <f t="shared" si="201"/>
        <v>0.107</v>
      </c>
      <c r="AO83" s="1">
        <f t="shared" si="202"/>
        <v>0.0027</v>
      </c>
      <c r="AP83" s="1">
        <f t="shared" si="203"/>
        <v>0.0017</v>
      </c>
      <c r="AQ83" s="1">
        <f t="shared" si="204"/>
        <v>0.0019</v>
      </c>
      <c r="AR83" s="1">
        <f t="shared" si="205"/>
        <v>0.0027</v>
      </c>
      <c r="AS83" s="1">
        <f t="shared" si="206"/>
        <v>0.0179</v>
      </c>
      <c r="AT83" s="1">
        <f t="shared" si="207"/>
        <v>0.0457</v>
      </c>
      <c r="AU83" s="1">
        <f t="shared" si="208"/>
        <v>0.0013</v>
      </c>
      <c r="AV83" s="1">
        <f t="shared" si="209"/>
        <v>0.0031</v>
      </c>
      <c r="AW83" s="4">
        <f t="shared" si="210"/>
        <v>0.0242</v>
      </c>
      <c r="BA83" s="1">
        <f t="shared" si="221"/>
        <v>0.00131731176760329</v>
      </c>
      <c r="BB83" s="1">
        <f t="shared" si="184"/>
        <v>0.00692949672633265</v>
      </c>
      <c r="BC83" s="1">
        <f t="shared" si="185"/>
        <v>0.0169962138884645</v>
      </c>
      <c r="BD83" s="1">
        <f t="shared" ref="BD83:BV83" si="246">AD83/SUM(AD$2:AD$91)</f>
        <v>0.0144696799936389</v>
      </c>
      <c r="BE83" s="1">
        <f t="shared" si="246"/>
        <v>0.0016187350692989</v>
      </c>
      <c r="BF83" s="1">
        <f t="shared" si="246"/>
        <v>0.000548258973171861</v>
      </c>
      <c r="BG83" s="1">
        <f t="shared" si="246"/>
        <v>0.00230278424328738</v>
      </c>
      <c r="BH83" s="1">
        <f t="shared" si="246"/>
        <v>4.13813080631478e-5</v>
      </c>
      <c r="BI83" s="1">
        <f t="shared" si="246"/>
        <v>0.000231548480463097</v>
      </c>
      <c r="BJ83" s="1">
        <f t="shared" si="246"/>
        <v>0.00158604282315623</v>
      </c>
      <c r="BK83" s="1">
        <f t="shared" si="246"/>
        <v>0.0103261493702867</v>
      </c>
      <c r="BL83" s="1">
        <f t="shared" si="246"/>
        <v>0.00429785828457745</v>
      </c>
      <c r="BM83" s="1">
        <f t="shared" si="246"/>
        <v>0.0108661727099862</v>
      </c>
      <c r="BN83" s="1">
        <f t="shared" si="246"/>
        <v>0.00464552878708282</v>
      </c>
      <c r="BO83" s="1">
        <f t="shared" si="246"/>
        <v>0.000346892103707891</v>
      </c>
      <c r="BP83" s="1">
        <f t="shared" si="246"/>
        <v>0.000275187775187775</v>
      </c>
      <c r="BQ83" s="1">
        <f t="shared" si="246"/>
        <v>0.000560505044545401</v>
      </c>
      <c r="BR83" s="1">
        <f t="shared" si="246"/>
        <v>0.00029874526986656</v>
      </c>
      <c r="BS83" s="1">
        <f t="shared" si="246"/>
        <v>0.00181051311357683</v>
      </c>
      <c r="BT83" s="1">
        <f t="shared" si="246"/>
        <v>0.00125779239544773</v>
      </c>
      <c r="BU83" s="1">
        <f t="shared" si="246"/>
        <v>0.000138479073681519</v>
      </c>
      <c r="BV83" s="1">
        <f t="shared" si="246"/>
        <v>0.000412031314379893</v>
      </c>
      <c r="CA83" s="1">
        <f t="shared" si="212"/>
        <v>-6.63216215864511</v>
      </c>
      <c r="CB83" s="1">
        <f t="shared" ref="CB83:CV83" si="247">IF(BB83=0,0,LN(BB83))</f>
        <v>-4.97196809088029</v>
      </c>
      <c r="CC83" s="1">
        <f t="shared" si="247"/>
        <v>-4.07476467217328</v>
      </c>
      <c r="CD83" s="1">
        <f t="shared" si="247"/>
        <v>-4.235699853743</v>
      </c>
      <c r="CE83" s="1">
        <f t="shared" si="247"/>
        <v>-6.4261102561581</v>
      </c>
      <c r="CF83" s="1">
        <f t="shared" si="247"/>
        <v>-7.50876280386567</v>
      </c>
      <c r="CG83" s="1">
        <f t="shared" si="247"/>
        <v>-6.07363634760075</v>
      </c>
      <c r="CH83" s="1">
        <f t="shared" si="247"/>
        <v>-10.0926812751473</v>
      </c>
      <c r="CI83" s="1">
        <f t="shared" si="247"/>
        <v>-8.37072128751598</v>
      </c>
      <c r="CJ83" s="1">
        <f t="shared" si="247"/>
        <v>-6.44651315540497</v>
      </c>
      <c r="CK83" s="1">
        <f t="shared" si="247"/>
        <v>-4.57307582717446</v>
      </c>
      <c r="CL83" s="1">
        <f t="shared" si="247"/>
        <v>-5.44963845371644</v>
      </c>
      <c r="CM83" s="1">
        <f t="shared" si="247"/>
        <v>-4.52210073644698</v>
      </c>
      <c r="CN83" s="1">
        <f t="shared" si="247"/>
        <v>-5.37185007313473</v>
      </c>
      <c r="CO83" s="1">
        <f t="shared" si="247"/>
        <v>-7.96649676669246</v>
      </c>
      <c r="CP83" s="1">
        <f t="shared" si="247"/>
        <v>-8.1980568744478</v>
      </c>
      <c r="CQ83" s="1">
        <f t="shared" si="247"/>
        <v>-7.48667231541156</v>
      </c>
      <c r="CR83" s="1">
        <f t="shared" si="247"/>
        <v>-8.11591928792654</v>
      </c>
      <c r="CS83" s="1">
        <f t="shared" si="247"/>
        <v>-6.31414498571559</v>
      </c>
      <c r="CT83" s="1">
        <f t="shared" si="247"/>
        <v>-6.67839716178845</v>
      </c>
      <c r="CU83" s="1">
        <f t="shared" si="247"/>
        <v>-8.88479133630472</v>
      </c>
      <c r="CV83" s="1">
        <f t="shared" si="247"/>
        <v>-7.7944112057266</v>
      </c>
    </row>
    <row r="84" spans="1:100">
      <c r="A84" s="1" t="s">
        <v>41</v>
      </c>
      <c r="B84" s="1">
        <v>2022</v>
      </c>
      <c r="C84" s="1">
        <v>730.05</v>
      </c>
      <c r="D84" s="1">
        <v>65972</v>
      </c>
      <c r="E84" s="1">
        <v>-1.8</v>
      </c>
      <c r="F84" s="1">
        <v>41.25</v>
      </c>
      <c r="G84" s="1">
        <v>44.73</v>
      </c>
      <c r="H84" s="1">
        <v>21.82</v>
      </c>
      <c r="I84" s="1">
        <f t="shared" si="220"/>
        <v>1970</v>
      </c>
      <c r="J84" s="1">
        <v>0</v>
      </c>
      <c r="K84" s="1">
        <v>2.33</v>
      </c>
      <c r="L84" s="1">
        <v>397.54</v>
      </c>
      <c r="M84" s="1">
        <f t="shared" si="183"/>
        <v>35899</v>
      </c>
      <c r="N84" s="1">
        <v>36404</v>
      </c>
      <c r="O84" s="1">
        <v>22099</v>
      </c>
      <c r="P84" s="1">
        <v>85808</v>
      </c>
      <c r="Q84" s="3">
        <v>32.1</v>
      </c>
      <c r="R84" s="1">
        <v>1.34</v>
      </c>
      <c r="S84" s="1">
        <v>10.92</v>
      </c>
      <c r="T84" s="1">
        <v>381</v>
      </c>
      <c r="U84" s="1">
        <v>110.74</v>
      </c>
      <c r="V84" s="1">
        <v>45.92</v>
      </c>
      <c r="W84" s="1">
        <v>0.38</v>
      </c>
      <c r="X84" s="1">
        <v>2.77</v>
      </c>
      <c r="AA84" s="1">
        <f t="shared" si="188"/>
        <v>0.0117</v>
      </c>
      <c r="AB84" s="1">
        <f t="shared" si="189"/>
        <v>0.2664</v>
      </c>
      <c r="AC84" s="1">
        <f t="shared" si="190"/>
        <v>0.3008</v>
      </c>
      <c r="AD84" s="1">
        <f t="shared" si="191"/>
        <v>0.7174</v>
      </c>
      <c r="AE84" s="1">
        <f t="shared" si="192"/>
        <v>0.1508</v>
      </c>
      <c r="AF84" s="1">
        <f t="shared" si="193"/>
        <v>0.0046</v>
      </c>
      <c r="AG84" s="1">
        <f t="shared" si="194"/>
        <v>0.0684</v>
      </c>
      <c r="AH84" s="1">
        <f t="shared" si="195"/>
        <v>0</v>
      </c>
      <c r="AI84" s="1">
        <f t="shared" si="196"/>
        <v>0.0023</v>
      </c>
      <c r="AJ84" s="1">
        <f t="shared" si="197"/>
        <v>0.0141</v>
      </c>
      <c r="AK84" s="1">
        <f t="shared" si="198"/>
        <v>0.557</v>
      </c>
      <c r="AL84" s="1">
        <f t="shared" si="199"/>
        <v>0.1723</v>
      </c>
      <c r="AM84" s="1">
        <f t="shared" si="200"/>
        <v>0.4831</v>
      </c>
      <c r="AN84" s="1">
        <f t="shared" si="201"/>
        <v>0.1533</v>
      </c>
      <c r="AO84" s="1">
        <f t="shared" si="202"/>
        <v>0.0034</v>
      </c>
      <c r="AP84" s="1">
        <f t="shared" si="203"/>
        <v>0.0011</v>
      </c>
      <c r="AQ84" s="1">
        <f t="shared" si="204"/>
        <v>0.0022</v>
      </c>
      <c r="AR84" s="1">
        <f t="shared" si="205"/>
        <v>0.0028</v>
      </c>
      <c r="AS84" s="1">
        <f t="shared" si="206"/>
        <v>0.018</v>
      </c>
      <c r="AT84" s="1">
        <f t="shared" si="207"/>
        <v>0.0604</v>
      </c>
      <c r="AU84" s="1">
        <f t="shared" si="208"/>
        <v>0.0018</v>
      </c>
      <c r="AV84" s="1">
        <f t="shared" si="209"/>
        <v>0.005</v>
      </c>
      <c r="AW84" s="4">
        <f t="shared" si="210"/>
        <v>0.0246</v>
      </c>
      <c r="BA84" s="1">
        <f t="shared" si="221"/>
        <v>0.00134022153747466</v>
      </c>
      <c r="BB84" s="1">
        <f t="shared" si="184"/>
        <v>0.00748587967516228</v>
      </c>
      <c r="BC84" s="1">
        <f t="shared" si="185"/>
        <v>0.00620971837440803</v>
      </c>
      <c r="BD84" s="1">
        <f t="shared" ref="BD84:BV84" si="248">AD84/SUM(AD$2:AD$91)</f>
        <v>0.0129643417352773</v>
      </c>
      <c r="BE84" s="1">
        <f t="shared" si="248"/>
        <v>0.00513905786211104</v>
      </c>
      <c r="BF84" s="1">
        <f t="shared" si="248"/>
        <v>0.000560442505909013</v>
      </c>
      <c r="BG84" s="1">
        <f t="shared" si="248"/>
        <v>0.00242323757293626</v>
      </c>
      <c r="BH84" s="1">
        <f t="shared" si="248"/>
        <v>0</v>
      </c>
      <c r="BI84" s="1">
        <f t="shared" si="248"/>
        <v>0.000266280752532562</v>
      </c>
      <c r="BJ84" s="1">
        <f t="shared" si="248"/>
        <v>0.00164435322106638</v>
      </c>
      <c r="BK84" s="1">
        <f t="shared" si="248"/>
        <v>0.0106611032423535</v>
      </c>
      <c r="BL84" s="1">
        <f t="shared" si="248"/>
        <v>0.00654170479180825</v>
      </c>
      <c r="BM84" s="1">
        <f t="shared" si="248"/>
        <v>0.0126706445478985</v>
      </c>
      <c r="BN84" s="1">
        <f t="shared" si="248"/>
        <v>0.00665569685102614</v>
      </c>
      <c r="BO84" s="1">
        <f t="shared" si="248"/>
        <v>0.000436827093558085</v>
      </c>
      <c r="BP84" s="1">
        <f t="shared" si="248"/>
        <v>0.000178062678062678</v>
      </c>
      <c r="BQ84" s="1">
        <f t="shared" si="248"/>
        <v>0.00064900584105257</v>
      </c>
      <c r="BR84" s="1">
        <f t="shared" si="248"/>
        <v>0.000309809909491248</v>
      </c>
      <c r="BS84" s="1">
        <f t="shared" si="248"/>
        <v>0.0018206277119767</v>
      </c>
      <c r="BT84" s="1">
        <f t="shared" si="248"/>
        <v>0.00166237769551516</v>
      </c>
      <c r="BU84" s="1">
        <f t="shared" si="248"/>
        <v>0.000191740255866719</v>
      </c>
      <c r="BV84" s="1">
        <f t="shared" si="248"/>
        <v>0.000664566636096602</v>
      </c>
      <c r="CA84" s="1">
        <f t="shared" si="212"/>
        <v>-6.61492035221061</v>
      </c>
      <c r="CB84" s="1">
        <f t="shared" ref="CB84:CV84" si="249">IF(BB84=0,0,LN(BB84))</f>
        <v>-4.89473674294429</v>
      </c>
      <c r="CC84" s="1">
        <f t="shared" si="249"/>
        <v>-5.08163973440198</v>
      </c>
      <c r="CD84" s="1">
        <f t="shared" si="249"/>
        <v>-4.34555263372341</v>
      </c>
      <c r="CE84" s="1">
        <f t="shared" si="249"/>
        <v>-5.27088551162484</v>
      </c>
      <c r="CF84" s="1">
        <f t="shared" si="249"/>
        <v>-7.4867838971469</v>
      </c>
      <c r="CG84" s="1">
        <f t="shared" si="249"/>
        <v>-6.02265079286788</v>
      </c>
      <c r="CH84" s="1">
        <f t="shared" si="249"/>
        <v>0</v>
      </c>
      <c r="CI84" s="1">
        <f t="shared" si="249"/>
        <v>-8.23095934514082</v>
      </c>
      <c r="CJ84" s="1">
        <f t="shared" si="249"/>
        <v>-6.41040815076286</v>
      </c>
      <c r="CK84" s="1">
        <f t="shared" si="249"/>
        <v>-4.54115337194536</v>
      </c>
      <c r="CL84" s="1">
        <f t="shared" si="249"/>
        <v>-5.02955747595164</v>
      </c>
      <c r="CM84" s="1">
        <f t="shared" si="249"/>
        <v>-4.36846741396998</v>
      </c>
      <c r="CN84" s="1">
        <f t="shared" si="249"/>
        <v>-5.01228212171887</v>
      </c>
      <c r="CO84" s="1">
        <f t="shared" si="249"/>
        <v>-7.73597310808063</v>
      </c>
      <c r="CP84" s="1">
        <f t="shared" si="249"/>
        <v>-8.63337494570565</v>
      </c>
      <c r="CQ84" s="1">
        <f t="shared" si="249"/>
        <v>-7.34006884121968</v>
      </c>
      <c r="CR84" s="1">
        <f t="shared" si="249"/>
        <v>-8.07955164375567</v>
      </c>
      <c r="CS84" s="1">
        <f t="shared" si="249"/>
        <v>-6.30857394066613</v>
      </c>
      <c r="CT84" s="1">
        <f t="shared" si="249"/>
        <v>-6.39950635474785</v>
      </c>
      <c r="CU84" s="1">
        <f t="shared" si="249"/>
        <v>-8.55936893587009</v>
      </c>
      <c r="CV84" s="1">
        <f t="shared" si="249"/>
        <v>-7.3163754047836</v>
      </c>
    </row>
    <row r="85" spans="1:100">
      <c r="A85" s="1" t="s">
        <v>41</v>
      </c>
      <c r="B85" s="1">
        <v>2023</v>
      </c>
      <c r="C85" s="1">
        <v>712.17</v>
      </c>
      <c r="D85" s="1">
        <v>64707</v>
      </c>
      <c r="E85" s="1">
        <v>6.2</v>
      </c>
      <c r="F85" s="3">
        <v>36.6</v>
      </c>
      <c r="G85" s="1">
        <v>49.29</v>
      </c>
      <c r="H85" s="1">
        <v>25.12</v>
      </c>
      <c r="I85" s="1">
        <f t="shared" si="220"/>
        <v>2297</v>
      </c>
      <c r="J85" s="1">
        <v>0</v>
      </c>
      <c r="K85" s="1">
        <v>2.43</v>
      </c>
      <c r="L85" s="3">
        <v>436.7</v>
      </c>
      <c r="M85" s="1">
        <f t="shared" si="183"/>
        <v>39925</v>
      </c>
      <c r="N85" s="1">
        <v>38425</v>
      </c>
      <c r="O85" s="1">
        <v>23812</v>
      </c>
      <c r="P85" s="1">
        <v>100314</v>
      </c>
      <c r="Q85" s="1">
        <v>37.31</v>
      </c>
      <c r="R85" s="1">
        <v>1.07</v>
      </c>
      <c r="S85" s="1">
        <v>11.57</v>
      </c>
      <c r="T85" s="1">
        <v>561</v>
      </c>
      <c r="U85" s="1">
        <v>109.38</v>
      </c>
      <c r="V85" s="1">
        <v>47.42</v>
      </c>
      <c r="W85" s="1">
        <v>0.43</v>
      </c>
      <c r="X85" s="1">
        <v>2.92</v>
      </c>
      <c r="AA85" s="1">
        <f t="shared" si="188"/>
        <v>0.0114</v>
      </c>
      <c r="AB85" s="1">
        <f t="shared" si="189"/>
        <v>0.2563</v>
      </c>
      <c r="AC85" s="1">
        <f t="shared" si="190"/>
        <v>0.6015</v>
      </c>
      <c r="AD85" s="1">
        <f t="shared" si="191"/>
        <v>0.5388</v>
      </c>
      <c r="AE85" s="1">
        <f t="shared" si="192"/>
        <v>0.3202</v>
      </c>
      <c r="AF85" s="1">
        <f t="shared" si="193"/>
        <v>0.0054</v>
      </c>
      <c r="AG85" s="1">
        <f t="shared" si="194"/>
        <v>0.0986</v>
      </c>
      <c r="AH85" s="1">
        <f t="shared" si="195"/>
        <v>0</v>
      </c>
      <c r="AI85" s="1">
        <f t="shared" si="196"/>
        <v>0.0024</v>
      </c>
      <c r="AJ85" s="1">
        <f t="shared" si="197"/>
        <v>0.0155</v>
      </c>
      <c r="AK85" s="1">
        <f t="shared" si="198"/>
        <v>0.6241</v>
      </c>
      <c r="AL85" s="1">
        <f t="shared" si="199"/>
        <v>0.2322</v>
      </c>
      <c r="AM85" s="1">
        <f t="shared" si="200"/>
        <v>0.5606</v>
      </c>
      <c r="AN85" s="1">
        <f t="shared" si="201"/>
        <v>0.2123</v>
      </c>
      <c r="AO85" s="1">
        <f t="shared" si="202"/>
        <v>0.004</v>
      </c>
      <c r="AP85" s="1">
        <f t="shared" si="203"/>
        <v>0.0009</v>
      </c>
      <c r="AQ85" s="1">
        <f t="shared" si="204"/>
        <v>0.0023</v>
      </c>
      <c r="AR85" s="1">
        <f t="shared" si="205"/>
        <v>0.0049</v>
      </c>
      <c r="AS85" s="1">
        <f t="shared" si="206"/>
        <v>0.0177</v>
      </c>
      <c r="AT85" s="1">
        <f t="shared" si="207"/>
        <v>0.0964</v>
      </c>
      <c r="AU85" s="1">
        <f t="shared" si="208"/>
        <v>0.002</v>
      </c>
      <c r="AV85" s="1">
        <f t="shared" si="209"/>
        <v>0.0054</v>
      </c>
      <c r="AW85" s="4">
        <f t="shared" si="210"/>
        <v>0.0307</v>
      </c>
      <c r="BA85" s="1">
        <f t="shared" si="221"/>
        <v>0.00130585688266761</v>
      </c>
      <c r="BB85" s="1">
        <f t="shared" si="184"/>
        <v>0.00720206817096131</v>
      </c>
      <c r="BC85" s="1">
        <f t="shared" si="185"/>
        <v>0.0124173723477607</v>
      </c>
      <c r="BD85" s="1">
        <f t="shared" ref="BD85:BV85" si="250">AD85/SUM(AD$2:AD$91)</f>
        <v>0.00973680976716953</v>
      </c>
      <c r="BE85" s="1">
        <f t="shared" si="250"/>
        <v>0.0109119782987265</v>
      </c>
      <c r="BF85" s="1">
        <f t="shared" si="250"/>
        <v>0.000657910767806233</v>
      </c>
      <c r="BG85" s="1">
        <f t="shared" si="250"/>
        <v>0.00349314655981748</v>
      </c>
      <c r="BH85" s="1">
        <f t="shared" si="250"/>
        <v>0</v>
      </c>
      <c r="BI85" s="1">
        <f t="shared" si="250"/>
        <v>0.000277858176555716</v>
      </c>
      <c r="BJ85" s="1">
        <f t="shared" si="250"/>
        <v>0.00180762233521482</v>
      </c>
      <c r="BK85" s="1">
        <f t="shared" si="250"/>
        <v>0.0119454120889638</v>
      </c>
      <c r="BL85" s="1">
        <f t="shared" si="250"/>
        <v>0.00881592485582053</v>
      </c>
      <c r="BM85" s="1">
        <f t="shared" si="250"/>
        <v>0.014703298144384</v>
      </c>
      <c r="BN85" s="1">
        <f t="shared" si="250"/>
        <v>0.00921725010745499</v>
      </c>
      <c r="BO85" s="1">
        <f t="shared" si="250"/>
        <v>0.000513914227715394</v>
      </c>
      <c r="BP85" s="1">
        <f t="shared" si="250"/>
        <v>0.000145687645687646</v>
      </c>
      <c r="BQ85" s="1">
        <f t="shared" si="250"/>
        <v>0.000678506106554959</v>
      </c>
      <c r="BR85" s="1">
        <f t="shared" si="250"/>
        <v>0.000542167341609684</v>
      </c>
      <c r="BS85" s="1">
        <f t="shared" si="250"/>
        <v>0.00179028391677708</v>
      </c>
      <c r="BT85" s="1">
        <f t="shared" si="250"/>
        <v>0.00265319883853744</v>
      </c>
      <c r="BU85" s="1">
        <f t="shared" si="250"/>
        <v>0.000213044728740799</v>
      </c>
      <c r="BV85" s="1">
        <f t="shared" si="250"/>
        <v>0.00071773196698433</v>
      </c>
      <c r="CA85" s="1">
        <f t="shared" si="212"/>
        <v>-6.64089583861387</v>
      </c>
      <c r="CB85" s="1">
        <f t="shared" ref="CB85:CV85" si="251">IF(BB85=0,0,LN(BB85))</f>
        <v>-4.9333870482405</v>
      </c>
      <c r="CC85" s="1">
        <f t="shared" si="251"/>
        <v>-4.38865879106293</v>
      </c>
      <c r="CD85" s="1">
        <f t="shared" si="251"/>
        <v>-4.63184175428538</v>
      </c>
      <c r="CE85" s="1">
        <f t="shared" si="251"/>
        <v>-4.51789416663608</v>
      </c>
      <c r="CF85" s="1">
        <f t="shared" si="251"/>
        <v>-7.32644124707172</v>
      </c>
      <c r="CG85" s="1">
        <f t="shared" si="251"/>
        <v>-5.6569523558878</v>
      </c>
      <c r="CH85" s="1">
        <f t="shared" si="251"/>
        <v>0</v>
      </c>
      <c r="CI85" s="1">
        <f t="shared" si="251"/>
        <v>-8.18839973072203</v>
      </c>
      <c r="CJ85" s="1">
        <f t="shared" si="251"/>
        <v>-6.31574292422178</v>
      </c>
      <c r="CK85" s="1">
        <f t="shared" si="251"/>
        <v>-4.42740799993265</v>
      </c>
      <c r="CL85" s="1">
        <f t="shared" si="251"/>
        <v>-4.73119555022173</v>
      </c>
      <c r="CM85" s="1">
        <f t="shared" si="251"/>
        <v>-4.21968344679965</v>
      </c>
      <c r="CN85" s="1">
        <f t="shared" si="251"/>
        <v>-4.68667853888743</v>
      </c>
      <c r="CO85" s="1">
        <f t="shared" si="251"/>
        <v>-7.57345417858285</v>
      </c>
      <c r="CP85" s="1">
        <f t="shared" si="251"/>
        <v>-8.8340456411678</v>
      </c>
      <c r="CQ85" s="1">
        <f t="shared" si="251"/>
        <v>-7.29561707864885</v>
      </c>
      <c r="CR85" s="1">
        <f t="shared" si="251"/>
        <v>-7.51993585582024</v>
      </c>
      <c r="CS85" s="1">
        <f t="shared" si="251"/>
        <v>-6.32538105898251</v>
      </c>
      <c r="CT85" s="1">
        <f t="shared" si="251"/>
        <v>-5.93198925807211</v>
      </c>
      <c r="CU85" s="1">
        <f t="shared" si="251"/>
        <v>-8.45400842021226</v>
      </c>
      <c r="CV85" s="1">
        <f t="shared" si="251"/>
        <v>-7.23941436364747</v>
      </c>
    </row>
    <row r="86" spans="1:100">
      <c r="A86" s="1" t="s">
        <v>41</v>
      </c>
      <c r="B86" s="1">
        <v>2024</v>
      </c>
      <c r="C86" s="3">
        <v>785.4</v>
      </c>
      <c r="D86" s="1">
        <v>72128</v>
      </c>
      <c r="E86" s="1">
        <v>6.3</v>
      </c>
      <c r="F86" s="1">
        <v>37.37</v>
      </c>
      <c r="G86" s="1">
        <v>49.81</v>
      </c>
      <c r="H86" s="1">
        <v>30.08</v>
      </c>
      <c r="I86" s="1">
        <f t="shared" si="220"/>
        <v>2775</v>
      </c>
      <c r="J86" s="1">
        <v>0.02</v>
      </c>
      <c r="K86" s="3">
        <v>2.6</v>
      </c>
      <c r="L86" s="1">
        <v>459.23</v>
      </c>
      <c r="M86" s="1">
        <f t="shared" si="183"/>
        <v>42364</v>
      </c>
      <c r="N86" s="1">
        <v>40054</v>
      </c>
      <c r="O86" s="1">
        <v>25148</v>
      </c>
      <c r="P86" s="1">
        <v>113681</v>
      </c>
      <c r="Q86" s="1">
        <v>32.36</v>
      </c>
      <c r="R86" s="1">
        <v>0.97</v>
      </c>
      <c r="S86" s="1">
        <v>14.05</v>
      </c>
      <c r="T86" s="1">
        <v>658</v>
      </c>
      <c r="U86" s="3">
        <v>108.4</v>
      </c>
      <c r="V86" s="3">
        <v>49.1</v>
      </c>
      <c r="W86" s="1">
        <v>0.57</v>
      </c>
      <c r="X86" s="1">
        <v>3.22</v>
      </c>
      <c r="AA86" s="1">
        <f t="shared" si="188"/>
        <v>0.0126</v>
      </c>
      <c r="AB86" s="1">
        <f t="shared" si="189"/>
        <v>0.3156</v>
      </c>
      <c r="AC86" s="1">
        <f t="shared" si="190"/>
        <v>0.6053</v>
      </c>
      <c r="AD86" s="1">
        <f t="shared" si="191"/>
        <v>0.5684</v>
      </c>
      <c r="AE86" s="1">
        <f t="shared" si="192"/>
        <v>0.3395</v>
      </c>
      <c r="AF86" s="1">
        <f t="shared" si="193"/>
        <v>0.0067</v>
      </c>
      <c r="AG86" s="1">
        <f t="shared" si="194"/>
        <v>0.1426</v>
      </c>
      <c r="AH86" s="1">
        <f t="shared" si="195"/>
        <v>0.0002</v>
      </c>
      <c r="AI86" s="1">
        <f t="shared" si="196"/>
        <v>0.0026</v>
      </c>
      <c r="AJ86" s="1">
        <f t="shared" si="197"/>
        <v>0.0163</v>
      </c>
      <c r="AK86" s="1">
        <f t="shared" si="198"/>
        <v>0.6647</v>
      </c>
      <c r="AL86" s="1">
        <f t="shared" si="199"/>
        <v>0.2804</v>
      </c>
      <c r="AM86" s="1">
        <f t="shared" si="200"/>
        <v>0.621</v>
      </c>
      <c r="AN86" s="1">
        <f t="shared" si="201"/>
        <v>0.2666</v>
      </c>
      <c r="AO86" s="1">
        <f t="shared" si="202"/>
        <v>0.0034</v>
      </c>
      <c r="AP86" s="1">
        <f t="shared" si="203"/>
        <v>0.0008</v>
      </c>
      <c r="AQ86" s="1">
        <f t="shared" si="204"/>
        <v>0.0028</v>
      </c>
      <c r="AR86" s="1">
        <f t="shared" si="205"/>
        <v>0.006</v>
      </c>
      <c r="AS86" s="1">
        <f t="shared" si="206"/>
        <v>0.0176</v>
      </c>
      <c r="AT86" s="1">
        <f t="shared" si="207"/>
        <v>0.1368</v>
      </c>
      <c r="AU86" s="1">
        <f t="shared" si="208"/>
        <v>0.0026</v>
      </c>
      <c r="AV86" s="1">
        <f t="shared" si="209"/>
        <v>0.0061</v>
      </c>
      <c r="AW86" s="4">
        <f t="shared" si="210"/>
        <v>0.0347</v>
      </c>
      <c r="BA86" s="1">
        <f t="shared" si="221"/>
        <v>0.00144331550189578</v>
      </c>
      <c r="BB86" s="1">
        <f t="shared" si="184"/>
        <v>0.00886840700255712</v>
      </c>
      <c r="BC86" s="1">
        <f t="shared" si="185"/>
        <v>0.012495819587863</v>
      </c>
      <c r="BD86" s="1">
        <f t="shared" ref="BD86:BV86" si="252">AD86/SUM(AD$2:AD$91)</f>
        <v>0.0102717198805849</v>
      </c>
      <c r="BE86" s="1">
        <f t="shared" si="252"/>
        <v>0.0115696959163574</v>
      </c>
      <c r="BF86" s="1">
        <f t="shared" si="252"/>
        <v>0.000816296693389215</v>
      </c>
      <c r="BG86" s="1">
        <f t="shared" si="252"/>
        <v>0.00505195435527355</v>
      </c>
      <c r="BH86" s="1">
        <f t="shared" si="252"/>
        <v>4.13813080631478e-5</v>
      </c>
      <c r="BI86" s="1">
        <f t="shared" si="252"/>
        <v>0.000301013024602026</v>
      </c>
      <c r="BJ86" s="1">
        <f t="shared" si="252"/>
        <v>0.00190091897187107</v>
      </c>
      <c r="BK86" s="1">
        <f t="shared" si="252"/>
        <v>0.0127225050721586</v>
      </c>
      <c r="BL86" s="1">
        <f t="shared" si="252"/>
        <v>0.0106459316519039</v>
      </c>
      <c r="BM86" s="1">
        <f t="shared" si="252"/>
        <v>0.0162874565602256</v>
      </c>
      <c r="BN86" s="1">
        <f t="shared" si="252"/>
        <v>0.0115747474265073</v>
      </c>
      <c r="BO86" s="1">
        <f t="shared" si="252"/>
        <v>0.000436827093558085</v>
      </c>
      <c r="BP86" s="1">
        <f t="shared" si="252"/>
        <v>0.000129500129500129</v>
      </c>
      <c r="BQ86" s="1">
        <f t="shared" si="252"/>
        <v>0.000826007434066907</v>
      </c>
      <c r="BR86" s="1">
        <f t="shared" si="252"/>
        <v>0.000663878377481245</v>
      </c>
      <c r="BS86" s="1">
        <f t="shared" si="252"/>
        <v>0.00178016931837721</v>
      </c>
      <c r="BT86" s="1">
        <f t="shared" si="252"/>
        <v>0.00376512034348466</v>
      </c>
      <c r="BU86" s="1">
        <f t="shared" si="252"/>
        <v>0.000276958147363039</v>
      </c>
      <c r="BV86" s="1">
        <f t="shared" si="252"/>
        <v>0.000810771296037854</v>
      </c>
      <c r="CA86" s="1">
        <f t="shared" si="212"/>
        <v>-6.54081238005689</v>
      </c>
      <c r="CB86" s="1">
        <f t="shared" ref="CB86:CV86" si="253">IF(BB86=0,0,LN(BB86))</f>
        <v>-4.72526009263881</v>
      </c>
      <c r="CC86" s="1">
        <f t="shared" si="253"/>
        <v>-4.38236112358002</v>
      </c>
      <c r="CD86" s="1">
        <f t="shared" si="253"/>
        <v>-4.57836080259865</v>
      </c>
      <c r="CE86" s="1">
        <f t="shared" si="253"/>
        <v>-4.45936602019994</v>
      </c>
      <c r="CF86" s="1">
        <f t="shared" si="253"/>
        <v>-7.11073267424503</v>
      </c>
      <c r="CG86" s="1">
        <f t="shared" si="253"/>
        <v>-5.28798010951619</v>
      </c>
      <c r="CH86" s="1">
        <f t="shared" si="253"/>
        <v>-10.0926812751473</v>
      </c>
      <c r="CI86" s="1">
        <f t="shared" si="253"/>
        <v>-8.10835702304849</v>
      </c>
      <c r="CJ86" s="1">
        <f t="shared" si="253"/>
        <v>-6.26541784033426</v>
      </c>
      <c r="CK86" s="1">
        <f t="shared" si="253"/>
        <v>-4.36438280082511</v>
      </c>
      <c r="CL86" s="1">
        <f t="shared" si="253"/>
        <v>-4.54257746432509</v>
      </c>
      <c r="CM86" s="1">
        <f t="shared" si="253"/>
        <v>-4.11736000359686</v>
      </c>
      <c r="CN86" s="1">
        <f t="shared" si="253"/>
        <v>-4.45892949985203</v>
      </c>
      <c r="CO86" s="1">
        <f t="shared" si="253"/>
        <v>-7.73597310808063</v>
      </c>
      <c r="CP86" s="1">
        <f t="shared" si="253"/>
        <v>-8.95182867682418</v>
      </c>
      <c r="CQ86" s="1">
        <f t="shared" si="253"/>
        <v>-7.0989067844028</v>
      </c>
      <c r="CR86" s="1">
        <f t="shared" si="253"/>
        <v>-7.31741159170877</v>
      </c>
      <c r="CS86" s="1">
        <f t="shared" si="253"/>
        <v>-6.33104679651819</v>
      </c>
      <c r="CT86" s="1">
        <f t="shared" si="253"/>
        <v>-5.58197545450016</v>
      </c>
      <c r="CU86" s="1">
        <f t="shared" si="253"/>
        <v>-8.19164415574477</v>
      </c>
      <c r="CV86" s="1">
        <f t="shared" si="253"/>
        <v>-7.11752454603844</v>
      </c>
    </row>
    <row r="87" spans="1:100">
      <c r="A87" s="1" t="s">
        <v>42</v>
      </c>
      <c r="B87" s="1">
        <v>2020</v>
      </c>
      <c r="C87" s="1">
        <v>30.73</v>
      </c>
      <c r="D87" s="1">
        <v>43100</v>
      </c>
      <c r="E87" s="1">
        <v>-6.9</v>
      </c>
      <c r="F87" s="1">
        <v>29.71</v>
      </c>
      <c r="G87" s="1">
        <v>62.45</v>
      </c>
      <c r="H87" s="1">
        <v>3.82</v>
      </c>
      <c r="I87" s="1">
        <f t="shared" si="220"/>
        <v>5736</v>
      </c>
      <c r="J87" s="1">
        <v>0</v>
      </c>
      <c r="K87" s="1">
        <v>0</v>
      </c>
      <c r="L87" s="3">
        <v>15.4</v>
      </c>
      <c r="M87" s="1">
        <f t="shared" si="183"/>
        <v>23123</v>
      </c>
      <c r="N87" s="1">
        <v>32203</v>
      </c>
      <c r="O87" s="1">
        <v>11417</v>
      </c>
      <c r="P87" s="1">
        <v>104433</v>
      </c>
      <c r="Q87" s="1">
        <v>1.73</v>
      </c>
      <c r="R87" s="1">
        <v>0.33</v>
      </c>
      <c r="S87" s="1">
        <v>0.76</v>
      </c>
      <c r="T87" s="1">
        <v>1550</v>
      </c>
      <c r="U87" s="1">
        <v>6.66</v>
      </c>
      <c r="V87" s="3">
        <v>48.8</v>
      </c>
      <c r="W87" s="1">
        <v>0</v>
      </c>
      <c r="X87" s="1">
        <v>0.73</v>
      </c>
      <c r="AA87" s="1">
        <f t="shared" si="188"/>
        <v>0</v>
      </c>
      <c r="AB87" s="1">
        <f t="shared" si="189"/>
        <v>0.0835</v>
      </c>
      <c r="AC87" s="1">
        <f t="shared" si="190"/>
        <v>0.109</v>
      </c>
      <c r="AD87" s="1">
        <f t="shared" si="191"/>
        <v>0.2742</v>
      </c>
      <c r="AE87" s="1">
        <f t="shared" si="192"/>
        <v>0.8091</v>
      </c>
      <c r="AF87" s="1">
        <f t="shared" si="193"/>
        <v>0</v>
      </c>
      <c r="AG87" s="1">
        <f t="shared" si="194"/>
        <v>0.4156</v>
      </c>
      <c r="AH87" s="1">
        <f t="shared" si="195"/>
        <v>0</v>
      </c>
      <c r="AI87" s="1">
        <f t="shared" si="196"/>
        <v>0</v>
      </c>
      <c r="AJ87" s="1">
        <f t="shared" si="197"/>
        <v>0</v>
      </c>
      <c r="AK87" s="1">
        <f t="shared" si="198"/>
        <v>0.3441</v>
      </c>
      <c r="AL87" s="1">
        <f t="shared" si="199"/>
        <v>0.0479</v>
      </c>
      <c r="AM87" s="1">
        <f t="shared" si="200"/>
        <v>0</v>
      </c>
      <c r="AN87" s="1">
        <f t="shared" si="201"/>
        <v>0.229</v>
      </c>
      <c r="AO87" s="1">
        <f t="shared" si="202"/>
        <v>0</v>
      </c>
      <c r="AP87" s="1">
        <f t="shared" si="203"/>
        <v>0.0002</v>
      </c>
      <c r="AQ87" s="1">
        <f t="shared" si="204"/>
        <v>0</v>
      </c>
      <c r="AR87" s="1">
        <f t="shared" si="205"/>
        <v>0.0162</v>
      </c>
      <c r="AS87" s="1">
        <f t="shared" si="206"/>
        <v>0.0001</v>
      </c>
      <c r="AT87" s="1">
        <f t="shared" si="207"/>
        <v>0.1296</v>
      </c>
      <c r="AU87" s="1">
        <f t="shared" si="208"/>
        <v>0</v>
      </c>
      <c r="AV87" s="1">
        <f t="shared" si="209"/>
        <v>0.0003</v>
      </c>
      <c r="AW87" s="4">
        <f t="shared" si="210"/>
        <v>0.0258</v>
      </c>
      <c r="BA87" s="1">
        <f t="shared" si="221"/>
        <v>0</v>
      </c>
      <c r="BB87" s="1">
        <f t="shared" si="184"/>
        <v>0.00234636243572091</v>
      </c>
      <c r="BC87" s="1">
        <f t="shared" si="185"/>
        <v>0.00225019715030078</v>
      </c>
      <c r="BD87" s="1">
        <f t="shared" ref="BD87:BV87" si="254">AD87/SUM(AD$2:AD$91)</f>
        <v>0.00495514706413861</v>
      </c>
      <c r="BE87" s="1">
        <f t="shared" si="254"/>
        <v>0.0275730219909419</v>
      </c>
      <c r="BF87" s="1">
        <f t="shared" si="254"/>
        <v>0</v>
      </c>
      <c r="BG87" s="1">
        <f t="shared" si="254"/>
        <v>0.0147236481770806</v>
      </c>
      <c r="BH87" s="1">
        <f t="shared" si="254"/>
        <v>0</v>
      </c>
      <c r="BI87" s="1">
        <f t="shared" si="254"/>
        <v>0</v>
      </c>
      <c r="BJ87" s="1">
        <f t="shared" si="254"/>
        <v>0</v>
      </c>
      <c r="BK87" s="1">
        <f t="shared" si="254"/>
        <v>0.00658615013589557</v>
      </c>
      <c r="BL87" s="1">
        <f t="shared" si="254"/>
        <v>0.00181861671229028</v>
      </c>
      <c r="BM87" s="1">
        <f t="shared" si="254"/>
        <v>0</v>
      </c>
      <c r="BN87" s="1">
        <f t="shared" si="254"/>
        <v>0.00994229992749502</v>
      </c>
      <c r="BO87" s="1">
        <f t="shared" si="254"/>
        <v>0</v>
      </c>
      <c r="BP87" s="1">
        <f t="shared" si="254"/>
        <v>3.23750323750324e-5</v>
      </c>
      <c r="BQ87" s="1">
        <f t="shared" si="254"/>
        <v>0</v>
      </c>
      <c r="BR87" s="1">
        <f t="shared" si="254"/>
        <v>0.00179247161919936</v>
      </c>
      <c r="BS87" s="1">
        <f t="shared" si="254"/>
        <v>1.01145983998705e-5</v>
      </c>
      <c r="BT87" s="1">
        <f t="shared" si="254"/>
        <v>0.0035669561148802</v>
      </c>
      <c r="BU87" s="1">
        <f t="shared" si="254"/>
        <v>0</v>
      </c>
      <c r="BV87" s="1">
        <f t="shared" si="254"/>
        <v>3.98739981657961e-5</v>
      </c>
      <c r="CA87" s="1">
        <f t="shared" si="212"/>
        <v>0</v>
      </c>
      <c r="CB87" s="1">
        <f t="shared" ref="CB87:CV87" si="255">IF(BB87=0,0,LN(BB87))</f>
        <v>-6.05488904975372</v>
      </c>
      <c r="CC87" s="1">
        <f t="shared" si="255"/>
        <v>-6.09673744424852</v>
      </c>
      <c r="CD87" s="1">
        <f t="shared" si="255"/>
        <v>-5.30732843169338</v>
      </c>
      <c r="CE87" s="1">
        <f t="shared" si="255"/>
        <v>-3.5909174483849</v>
      </c>
      <c r="CF87" s="1">
        <f t="shared" si="255"/>
        <v>0</v>
      </c>
      <c r="CG87" s="1">
        <f t="shared" si="255"/>
        <v>-4.21830035827131</v>
      </c>
      <c r="CH87" s="1">
        <f t="shared" si="255"/>
        <v>0</v>
      </c>
      <c r="CI87" s="1">
        <f t="shared" si="255"/>
        <v>0</v>
      </c>
      <c r="CJ87" s="1">
        <f t="shared" si="255"/>
        <v>0</v>
      </c>
      <c r="CK87" s="1">
        <f t="shared" si="255"/>
        <v>-5.02278629906921</v>
      </c>
      <c r="CL87" s="1">
        <f t="shared" si="255"/>
        <v>-6.30967911506865</v>
      </c>
      <c r="CM87" s="1">
        <f t="shared" si="255"/>
        <v>0</v>
      </c>
      <c r="CN87" s="1">
        <f t="shared" si="255"/>
        <v>-4.6109569040424</v>
      </c>
      <c r="CO87" s="1">
        <f t="shared" si="255"/>
        <v>0</v>
      </c>
      <c r="CP87" s="1">
        <f t="shared" si="255"/>
        <v>-10.3381230379441</v>
      </c>
      <c r="CQ87" s="1">
        <f t="shared" si="255"/>
        <v>0</v>
      </c>
      <c r="CR87" s="1">
        <f t="shared" si="255"/>
        <v>-6.32415981869849</v>
      </c>
      <c r="CS87" s="1">
        <f t="shared" si="255"/>
        <v>-11.5015307915563</v>
      </c>
      <c r="CT87" s="1">
        <f t="shared" si="255"/>
        <v>-5.63604267577044</v>
      </c>
      <c r="CU87" s="1">
        <f t="shared" si="255"/>
        <v>0</v>
      </c>
      <c r="CV87" s="1">
        <f t="shared" si="255"/>
        <v>-10.1297861215436</v>
      </c>
    </row>
    <row r="88" spans="1:100">
      <c r="A88" s="1" t="s">
        <v>42</v>
      </c>
      <c r="B88" s="1">
        <v>2021</v>
      </c>
      <c r="C88" s="1">
        <v>35.24</v>
      </c>
      <c r="D88" s="1">
        <v>54467</v>
      </c>
      <c r="E88" s="1">
        <v>10.1</v>
      </c>
      <c r="F88" s="1">
        <v>24.35</v>
      </c>
      <c r="G88" s="1">
        <v>67.59</v>
      </c>
      <c r="H88" s="1">
        <v>5.22</v>
      </c>
      <c r="I88" s="1">
        <f t="shared" si="220"/>
        <v>8312</v>
      </c>
      <c r="J88" s="1">
        <v>0</v>
      </c>
      <c r="K88" s="1">
        <v>0</v>
      </c>
      <c r="L88" s="3">
        <v>18</v>
      </c>
      <c r="M88" s="1">
        <f t="shared" si="183"/>
        <v>28662</v>
      </c>
      <c r="N88" s="1">
        <v>34003</v>
      </c>
      <c r="O88" s="1">
        <v>12547</v>
      </c>
      <c r="P88" s="1">
        <v>104876</v>
      </c>
      <c r="Q88" s="3">
        <v>1.4</v>
      </c>
      <c r="R88" s="1">
        <v>0.29</v>
      </c>
      <c r="S88" s="3">
        <v>0.8</v>
      </c>
      <c r="T88" s="1">
        <v>1785</v>
      </c>
      <c r="U88" s="1">
        <v>6.28</v>
      </c>
      <c r="V88" s="3">
        <v>49.43</v>
      </c>
      <c r="W88" s="1">
        <v>0</v>
      </c>
      <c r="X88" s="1">
        <v>0.74</v>
      </c>
      <c r="AA88" s="1">
        <f t="shared" si="188"/>
        <v>0.0001</v>
      </c>
      <c r="AB88" s="1">
        <f t="shared" si="189"/>
        <v>0.1744</v>
      </c>
      <c r="AC88" s="1">
        <f t="shared" si="190"/>
        <v>0.7481</v>
      </c>
      <c r="AD88" s="1">
        <f t="shared" si="191"/>
        <v>0.0684</v>
      </c>
      <c r="AE88" s="1">
        <f t="shared" si="192"/>
        <v>1</v>
      </c>
      <c r="AF88" s="1">
        <f t="shared" si="193"/>
        <v>0.0004</v>
      </c>
      <c r="AG88" s="1">
        <f t="shared" si="194"/>
        <v>0.6531</v>
      </c>
      <c r="AH88" s="1">
        <f t="shared" si="195"/>
        <v>0</v>
      </c>
      <c r="AI88" s="1">
        <f t="shared" si="196"/>
        <v>0</v>
      </c>
      <c r="AJ88" s="1">
        <f t="shared" si="197"/>
        <v>0.0001</v>
      </c>
      <c r="AK88" s="1">
        <f t="shared" si="198"/>
        <v>0.4364</v>
      </c>
      <c r="AL88" s="1">
        <f t="shared" si="199"/>
        <v>0.1012</v>
      </c>
      <c r="AM88" s="1">
        <f t="shared" si="200"/>
        <v>0.0511</v>
      </c>
      <c r="AN88" s="1">
        <f t="shared" si="201"/>
        <v>0.2308</v>
      </c>
      <c r="AO88" s="1">
        <f t="shared" si="202"/>
        <v>0</v>
      </c>
      <c r="AP88" s="1">
        <f t="shared" si="203"/>
        <v>0.0002</v>
      </c>
      <c r="AQ88" s="1">
        <f t="shared" si="204"/>
        <v>0</v>
      </c>
      <c r="AR88" s="1">
        <f t="shared" si="205"/>
        <v>0.0189</v>
      </c>
      <c r="AS88" s="1">
        <f t="shared" si="206"/>
        <v>0.0001</v>
      </c>
      <c r="AT88" s="1">
        <f t="shared" si="207"/>
        <v>0.1447</v>
      </c>
      <c r="AU88" s="1">
        <f t="shared" si="208"/>
        <v>0</v>
      </c>
      <c r="AV88" s="1">
        <f t="shared" si="209"/>
        <v>0.0003</v>
      </c>
      <c r="AW88" s="4">
        <f t="shared" si="210"/>
        <v>0.0367</v>
      </c>
      <c r="BA88" s="1">
        <f t="shared" si="221"/>
        <v>1.14548849356808e-5</v>
      </c>
      <c r="BB88" s="1">
        <f t="shared" si="184"/>
        <v>0.00490066597352966</v>
      </c>
      <c r="BC88" s="1">
        <f t="shared" si="185"/>
        <v>0.0154437842948625</v>
      </c>
      <c r="BD88" s="1">
        <f t="shared" ref="BD88:BV88" si="256">AD88/SUM(AD$2:AD$91)</f>
        <v>0.00123607607289235</v>
      </c>
      <c r="BE88" s="1">
        <f t="shared" si="256"/>
        <v>0.0340786330378716</v>
      </c>
      <c r="BF88" s="1">
        <f t="shared" si="256"/>
        <v>4.87341309486099e-5</v>
      </c>
      <c r="BG88" s="1">
        <f t="shared" si="256"/>
        <v>0.0231376675275537</v>
      </c>
      <c r="BH88" s="1">
        <f t="shared" si="256"/>
        <v>0</v>
      </c>
      <c r="BI88" s="1">
        <f t="shared" si="256"/>
        <v>0</v>
      </c>
      <c r="BJ88" s="1">
        <f t="shared" si="256"/>
        <v>1.16620795820311e-5</v>
      </c>
      <c r="BK88" s="1">
        <f t="shared" si="256"/>
        <v>0.00835279255828198</v>
      </c>
      <c r="BL88" s="1">
        <f t="shared" si="256"/>
        <v>0.00384225493285546</v>
      </c>
      <c r="BM88" s="1">
        <f t="shared" si="256"/>
        <v>0.00134023998426333</v>
      </c>
      <c r="BN88" s="1">
        <f t="shared" si="256"/>
        <v>0.0100204490098945</v>
      </c>
      <c r="BO88" s="1">
        <f t="shared" si="256"/>
        <v>0</v>
      </c>
      <c r="BP88" s="1">
        <f t="shared" si="256"/>
        <v>3.23750323750324e-5</v>
      </c>
      <c r="BQ88" s="1">
        <f t="shared" si="256"/>
        <v>0</v>
      </c>
      <c r="BR88" s="1">
        <f t="shared" si="256"/>
        <v>0.00209121688906592</v>
      </c>
      <c r="BS88" s="1">
        <f t="shared" si="256"/>
        <v>1.01145983998705e-5</v>
      </c>
      <c r="BT88" s="1">
        <f t="shared" si="256"/>
        <v>0.00398255053875899</v>
      </c>
      <c r="BU88" s="1">
        <f t="shared" si="256"/>
        <v>0</v>
      </c>
      <c r="BV88" s="1">
        <f t="shared" si="256"/>
        <v>3.98739981657961e-5</v>
      </c>
      <c r="CA88" s="1">
        <f t="shared" si="212"/>
        <v>-11.3770942870084</v>
      </c>
      <c r="CB88" s="1">
        <f t="shared" ref="CB88:CV88" si="257">IF(BB88=0,0,LN(BB88))</f>
        <v>-5.31838417013565</v>
      </c>
      <c r="CC88" s="1">
        <f t="shared" si="257"/>
        <v>-4.1705486675993</v>
      </c>
      <c r="CD88" s="1">
        <f t="shared" si="257"/>
        <v>-6.69581337419309</v>
      </c>
      <c r="CE88" s="1">
        <f t="shared" si="257"/>
        <v>-3.37908468821656</v>
      </c>
      <c r="CF88" s="1">
        <f t="shared" si="257"/>
        <v>-9.9291309325161</v>
      </c>
      <c r="CG88" s="1">
        <f t="shared" si="257"/>
        <v>-3.76629336058777</v>
      </c>
      <c r="CH88" s="1">
        <f t="shared" si="257"/>
        <v>0</v>
      </c>
      <c r="CI88" s="1">
        <f t="shared" si="257"/>
        <v>0</v>
      </c>
      <c r="CJ88" s="1">
        <f t="shared" si="257"/>
        <v>-11.359168041141</v>
      </c>
      <c r="CK88" s="1">
        <f t="shared" si="257"/>
        <v>-4.78515935791373</v>
      </c>
      <c r="CL88" s="1">
        <f t="shared" si="257"/>
        <v>-5.56169586263216</v>
      </c>
      <c r="CM88" s="1">
        <f t="shared" si="257"/>
        <v>-6.61490658832068</v>
      </c>
      <c r="CN88" s="1">
        <f t="shared" si="257"/>
        <v>-4.6031273729627</v>
      </c>
      <c r="CO88" s="1">
        <f t="shared" si="257"/>
        <v>0</v>
      </c>
      <c r="CP88" s="1">
        <f t="shared" si="257"/>
        <v>-10.3381230379441</v>
      </c>
      <c r="CQ88" s="1">
        <f t="shared" si="257"/>
        <v>0</v>
      </c>
      <c r="CR88" s="1">
        <f t="shared" si="257"/>
        <v>-6.17000913887123</v>
      </c>
      <c r="CS88" s="1">
        <f t="shared" si="257"/>
        <v>-11.5015307915563</v>
      </c>
      <c r="CT88" s="1">
        <f t="shared" si="257"/>
        <v>-5.52583282605118</v>
      </c>
      <c r="CU88" s="1">
        <f t="shared" si="257"/>
        <v>0</v>
      </c>
      <c r="CV88" s="1">
        <f t="shared" si="257"/>
        <v>-10.1297861215436</v>
      </c>
    </row>
    <row r="89" spans="1:100">
      <c r="A89" s="1" t="s">
        <v>42</v>
      </c>
      <c r="B89" s="1">
        <v>2022</v>
      </c>
      <c r="C89" s="1">
        <v>35.61</v>
      </c>
      <c r="D89" s="1">
        <v>56662</v>
      </c>
      <c r="E89" s="1">
        <v>0.2</v>
      </c>
      <c r="F89" s="1">
        <v>25.81</v>
      </c>
      <c r="G89" s="1">
        <v>67.42</v>
      </c>
      <c r="H89" s="1">
        <v>5.16</v>
      </c>
      <c r="I89" s="1">
        <f t="shared" si="220"/>
        <v>8203</v>
      </c>
      <c r="J89" s="1">
        <v>0</v>
      </c>
      <c r="K89" s="1">
        <v>0</v>
      </c>
      <c r="L89" s="1">
        <v>18.52</v>
      </c>
      <c r="M89" s="1">
        <f t="shared" si="183"/>
        <v>29444</v>
      </c>
      <c r="N89" s="1">
        <v>35907</v>
      </c>
      <c r="O89" s="1">
        <v>13488</v>
      </c>
      <c r="P89" s="1">
        <v>113681</v>
      </c>
      <c r="Q89" s="1">
        <v>1.93</v>
      </c>
      <c r="R89" s="1">
        <v>0.31</v>
      </c>
      <c r="S89" s="1">
        <v>0.86</v>
      </c>
      <c r="T89" s="1">
        <v>1903</v>
      </c>
      <c r="U89" s="1">
        <v>6.29</v>
      </c>
      <c r="V89" s="1">
        <v>49.48</v>
      </c>
      <c r="W89" s="1">
        <v>0</v>
      </c>
      <c r="X89" s="1">
        <v>0.67</v>
      </c>
      <c r="AA89" s="1">
        <f t="shared" si="188"/>
        <v>0.0001</v>
      </c>
      <c r="AB89" s="1">
        <f t="shared" si="189"/>
        <v>0.192</v>
      </c>
      <c r="AC89" s="1">
        <f t="shared" si="190"/>
        <v>0.3759</v>
      </c>
      <c r="AD89" s="1">
        <f t="shared" si="191"/>
        <v>0.1244</v>
      </c>
      <c r="AE89" s="1">
        <f t="shared" si="192"/>
        <v>0.9937</v>
      </c>
      <c r="AF89" s="1">
        <f t="shared" si="193"/>
        <v>0.0003</v>
      </c>
      <c r="AG89" s="1">
        <f t="shared" si="194"/>
        <v>0.6431</v>
      </c>
      <c r="AH89" s="1">
        <f t="shared" si="195"/>
        <v>0</v>
      </c>
      <c r="AI89" s="1">
        <f t="shared" si="196"/>
        <v>0</v>
      </c>
      <c r="AJ89" s="1">
        <f t="shared" si="197"/>
        <v>0.0001</v>
      </c>
      <c r="AK89" s="1">
        <f t="shared" si="198"/>
        <v>0.4495</v>
      </c>
      <c r="AL89" s="1">
        <f t="shared" si="199"/>
        <v>0.1576</v>
      </c>
      <c r="AM89" s="1">
        <f t="shared" si="200"/>
        <v>0.0937</v>
      </c>
      <c r="AN89" s="1">
        <f t="shared" si="201"/>
        <v>0.2666</v>
      </c>
      <c r="AO89" s="1">
        <f t="shared" si="202"/>
        <v>0.0001</v>
      </c>
      <c r="AP89" s="1">
        <f t="shared" si="203"/>
        <v>0.0002</v>
      </c>
      <c r="AQ89" s="1">
        <f t="shared" si="204"/>
        <v>0</v>
      </c>
      <c r="AR89" s="1">
        <f t="shared" si="205"/>
        <v>0.0203</v>
      </c>
      <c r="AS89" s="1">
        <f t="shared" si="206"/>
        <v>0.0001</v>
      </c>
      <c r="AT89" s="1">
        <f t="shared" si="207"/>
        <v>0.1459</v>
      </c>
      <c r="AU89" s="1">
        <f t="shared" si="208"/>
        <v>0</v>
      </c>
      <c r="AV89" s="1">
        <f t="shared" si="209"/>
        <v>0.0002</v>
      </c>
      <c r="AW89" s="4">
        <f t="shared" si="210"/>
        <v>0.0362</v>
      </c>
      <c r="BA89" s="1">
        <f t="shared" si="221"/>
        <v>1.14548849356808e-5</v>
      </c>
      <c r="BB89" s="1">
        <f t="shared" si="184"/>
        <v>0.00539522859471155</v>
      </c>
      <c r="BC89" s="1">
        <f t="shared" si="185"/>
        <v>0.00776008356695471</v>
      </c>
      <c r="BD89" s="1">
        <f t="shared" ref="BD89:BV89" si="258">AD89/SUM(AD$2:AD$91)</f>
        <v>0.00224806817935392</v>
      </c>
      <c r="BE89" s="1">
        <f t="shared" si="258"/>
        <v>0.033863937649733</v>
      </c>
      <c r="BF89" s="1">
        <f t="shared" si="258"/>
        <v>3.65505982114574e-5</v>
      </c>
      <c r="BG89" s="1">
        <f t="shared" si="258"/>
        <v>0.0227833930285864</v>
      </c>
      <c r="BH89" s="1">
        <f t="shared" si="258"/>
        <v>0</v>
      </c>
      <c r="BI89" s="1">
        <f t="shared" si="258"/>
        <v>0</v>
      </c>
      <c r="BJ89" s="1">
        <f t="shared" si="258"/>
        <v>1.16620795820311e-5</v>
      </c>
      <c r="BK89" s="1">
        <f t="shared" si="258"/>
        <v>0.00860352945680052</v>
      </c>
      <c r="BL89" s="1">
        <f t="shared" si="258"/>
        <v>0.00598359068594882</v>
      </c>
      <c r="BM89" s="1">
        <f t="shared" si="258"/>
        <v>0.0024575437676218</v>
      </c>
      <c r="BN89" s="1">
        <f t="shared" si="258"/>
        <v>0.0115747474265073</v>
      </c>
      <c r="BO89" s="1">
        <f t="shared" si="258"/>
        <v>1.28478556928849e-5</v>
      </c>
      <c r="BP89" s="1">
        <f t="shared" si="258"/>
        <v>3.23750323750324e-5</v>
      </c>
      <c r="BQ89" s="1">
        <f t="shared" si="258"/>
        <v>0</v>
      </c>
      <c r="BR89" s="1">
        <f t="shared" si="258"/>
        <v>0.00224612184381155</v>
      </c>
      <c r="BS89" s="1">
        <f t="shared" si="258"/>
        <v>1.01145983998705e-5</v>
      </c>
      <c r="BT89" s="1">
        <f t="shared" si="258"/>
        <v>0.00401557791019307</v>
      </c>
      <c r="BU89" s="1">
        <f t="shared" si="258"/>
        <v>0</v>
      </c>
      <c r="BV89" s="1">
        <f t="shared" si="258"/>
        <v>2.65826654438641e-5</v>
      </c>
      <c r="CA89" s="1">
        <f t="shared" si="212"/>
        <v>-11.3770942870084</v>
      </c>
      <c r="CB89" s="1">
        <f t="shared" ref="CB89:CV89" si="259">IF(BB89=0,0,LN(BB89))</f>
        <v>-5.22224030958275</v>
      </c>
      <c r="CC89" s="1">
        <f t="shared" si="259"/>
        <v>-4.85876217590753</v>
      </c>
      <c r="CD89" s="1">
        <f t="shared" si="259"/>
        <v>-6.09768401851651</v>
      </c>
      <c r="CE89" s="1">
        <f t="shared" si="259"/>
        <v>-3.38540461696138</v>
      </c>
      <c r="CF89" s="1">
        <f t="shared" si="259"/>
        <v>-10.2168130049679</v>
      </c>
      <c r="CG89" s="1">
        <f t="shared" si="259"/>
        <v>-3.78172338435557</v>
      </c>
      <c r="CH89" s="1">
        <f t="shared" si="259"/>
        <v>0</v>
      </c>
      <c r="CI89" s="1">
        <f t="shared" si="259"/>
        <v>0</v>
      </c>
      <c r="CJ89" s="1">
        <f t="shared" si="259"/>
        <v>-11.359168041141</v>
      </c>
      <c r="CK89" s="1">
        <f t="shared" si="259"/>
        <v>-4.75558275796097</v>
      </c>
      <c r="CL89" s="1">
        <f t="shared" si="259"/>
        <v>-5.11873444206174</v>
      </c>
      <c r="CM89" s="1">
        <f t="shared" si="259"/>
        <v>-6.00859289628596</v>
      </c>
      <c r="CN89" s="1">
        <f t="shared" si="259"/>
        <v>-4.45892949985203</v>
      </c>
      <c r="CO89" s="1">
        <f t="shared" si="259"/>
        <v>-11.2623336326968</v>
      </c>
      <c r="CP89" s="1">
        <f t="shared" si="259"/>
        <v>-10.3381230379441</v>
      </c>
      <c r="CQ89" s="1">
        <f t="shared" si="259"/>
        <v>0</v>
      </c>
      <c r="CR89" s="1">
        <f t="shared" si="259"/>
        <v>-6.09855017488908</v>
      </c>
      <c r="CS89" s="1">
        <f t="shared" si="259"/>
        <v>-11.5015307915563</v>
      </c>
      <c r="CT89" s="1">
        <f t="shared" si="259"/>
        <v>-5.51757400415987</v>
      </c>
      <c r="CU89" s="1">
        <f t="shared" si="259"/>
        <v>0</v>
      </c>
      <c r="CV89" s="1">
        <f t="shared" si="259"/>
        <v>-10.5352512296518</v>
      </c>
    </row>
    <row r="90" spans="1:100">
      <c r="A90" s="1" t="s">
        <v>42</v>
      </c>
      <c r="B90" s="1">
        <v>2023</v>
      </c>
      <c r="C90" s="3">
        <v>40.8</v>
      </c>
      <c r="D90" s="1">
        <v>67555</v>
      </c>
      <c r="E90" s="1">
        <v>7.8</v>
      </c>
      <c r="F90" s="1">
        <v>31.11</v>
      </c>
      <c r="G90" s="1">
        <v>62.63</v>
      </c>
      <c r="H90" s="1">
        <v>5.81</v>
      </c>
      <c r="I90" s="1">
        <f t="shared" si="220"/>
        <v>10035</v>
      </c>
      <c r="J90" s="1">
        <v>0</v>
      </c>
      <c r="K90" s="1">
        <v>0</v>
      </c>
      <c r="L90" s="1">
        <v>20.33</v>
      </c>
      <c r="M90" s="1">
        <f t="shared" si="183"/>
        <v>35112</v>
      </c>
      <c r="N90" s="1">
        <v>37865</v>
      </c>
      <c r="O90" s="1">
        <v>14661</v>
      </c>
      <c r="P90" s="1">
        <v>136339</v>
      </c>
      <c r="Q90" s="1">
        <v>3.34</v>
      </c>
      <c r="R90" s="1">
        <v>0.36</v>
      </c>
      <c r="S90" s="1">
        <v>0.91</v>
      </c>
      <c r="T90" s="1">
        <v>438</v>
      </c>
      <c r="U90" s="1">
        <v>5.79</v>
      </c>
      <c r="V90" s="3">
        <v>49.5</v>
      </c>
      <c r="W90" s="1">
        <v>0</v>
      </c>
      <c r="X90" s="1">
        <v>0.59</v>
      </c>
      <c r="AA90" s="1">
        <f t="shared" si="188"/>
        <v>0.0002</v>
      </c>
      <c r="AB90" s="1">
        <f t="shared" si="189"/>
        <v>0.2791</v>
      </c>
      <c r="AC90" s="1">
        <f t="shared" si="190"/>
        <v>0.6617</v>
      </c>
      <c r="AD90" s="1">
        <f t="shared" si="191"/>
        <v>0.328</v>
      </c>
      <c r="AE90" s="1">
        <f t="shared" si="192"/>
        <v>0.8158</v>
      </c>
      <c r="AF90" s="1">
        <f t="shared" si="193"/>
        <v>0.0005</v>
      </c>
      <c r="AG90" s="1">
        <f t="shared" si="194"/>
        <v>0.812</v>
      </c>
      <c r="AH90" s="1">
        <f t="shared" si="195"/>
        <v>0</v>
      </c>
      <c r="AI90" s="1">
        <f t="shared" si="196"/>
        <v>0</v>
      </c>
      <c r="AJ90" s="1">
        <f t="shared" si="197"/>
        <v>0.0002</v>
      </c>
      <c r="AK90" s="1">
        <f t="shared" si="198"/>
        <v>0.5439</v>
      </c>
      <c r="AL90" s="1">
        <f t="shared" si="199"/>
        <v>0.2156</v>
      </c>
      <c r="AM90" s="1">
        <f t="shared" si="200"/>
        <v>0.1467</v>
      </c>
      <c r="AN90" s="1">
        <f t="shared" si="201"/>
        <v>0.3588</v>
      </c>
      <c r="AO90" s="1">
        <f t="shared" si="202"/>
        <v>0.0002</v>
      </c>
      <c r="AP90" s="1">
        <f t="shared" si="203"/>
        <v>0.0002</v>
      </c>
      <c r="AQ90" s="1">
        <f t="shared" si="204"/>
        <v>0</v>
      </c>
      <c r="AR90" s="1">
        <f t="shared" si="205"/>
        <v>0.0035</v>
      </c>
      <c r="AS90" s="1">
        <f t="shared" si="206"/>
        <v>0</v>
      </c>
      <c r="AT90" s="1">
        <f t="shared" si="207"/>
        <v>0.1464</v>
      </c>
      <c r="AU90" s="1">
        <f t="shared" si="208"/>
        <v>0</v>
      </c>
      <c r="AV90" s="1">
        <f t="shared" si="209"/>
        <v>0</v>
      </c>
      <c r="AW90" s="4">
        <f t="shared" si="210"/>
        <v>0.0412</v>
      </c>
      <c r="BA90" s="1">
        <f t="shared" si="221"/>
        <v>2.29097698713616e-5</v>
      </c>
      <c r="BB90" s="1">
        <f t="shared" si="184"/>
        <v>0.00784275156658331</v>
      </c>
      <c r="BC90" s="1">
        <f t="shared" si="185"/>
        <v>0.0136601417830645</v>
      </c>
      <c r="BD90" s="1">
        <f t="shared" ref="BD90:BV90" si="260">AD90/SUM(AD$2:AD$91)</f>
        <v>0.00592738233784634</v>
      </c>
      <c r="BE90" s="1">
        <f t="shared" si="260"/>
        <v>0.0278013488322956</v>
      </c>
      <c r="BF90" s="1">
        <f t="shared" si="260"/>
        <v>6.09176636857623e-5</v>
      </c>
      <c r="BG90" s="1">
        <f t="shared" si="260"/>
        <v>0.0287670893161439</v>
      </c>
      <c r="BH90" s="1">
        <f t="shared" si="260"/>
        <v>0</v>
      </c>
      <c r="BI90" s="1">
        <f t="shared" si="260"/>
        <v>0</v>
      </c>
      <c r="BJ90" s="1">
        <f t="shared" si="260"/>
        <v>2.33241591640622e-5</v>
      </c>
      <c r="BK90" s="1">
        <f t="shared" si="260"/>
        <v>0.0104103663438349</v>
      </c>
      <c r="BL90" s="1">
        <f t="shared" si="260"/>
        <v>0.00818567355260511</v>
      </c>
      <c r="BM90" s="1">
        <f t="shared" si="260"/>
        <v>0.00384761654973444</v>
      </c>
      <c r="BN90" s="1">
        <f t="shared" si="260"/>
        <v>0.0155777170916385</v>
      </c>
      <c r="BO90" s="1">
        <f t="shared" si="260"/>
        <v>2.56957113857697e-5</v>
      </c>
      <c r="BP90" s="1">
        <f t="shared" si="260"/>
        <v>3.23750323750324e-5</v>
      </c>
      <c r="BQ90" s="1">
        <f t="shared" si="260"/>
        <v>0</v>
      </c>
      <c r="BR90" s="1">
        <f t="shared" si="260"/>
        <v>0.00038726238686406</v>
      </c>
      <c r="BS90" s="1">
        <f t="shared" si="260"/>
        <v>0</v>
      </c>
      <c r="BT90" s="1">
        <f t="shared" si="260"/>
        <v>0.00402933931495727</v>
      </c>
      <c r="BU90" s="1">
        <f t="shared" si="260"/>
        <v>0</v>
      </c>
      <c r="BV90" s="1">
        <f t="shared" si="260"/>
        <v>0</v>
      </c>
      <c r="CA90" s="1">
        <f t="shared" si="212"/>
        <v>-10.6839471064484</v>
      </c>
      <c r="CB90" s="1">
        <f t="shared" ref="CB90:CV90" si="261">IF(BB90=0,0,LN(BB90))</f>
        <v>-4.84816554106825</v>
      </c>
      <c r="CC90" s="1">
        <f t="shared" si="261"/>
        <v>-4.29327304545965</v>
      </c>
      <c r="CD90" s="1">
        <f t="shared" si="261"/>
        <v>-5.12817259043745</v>
      </c>
      <c r="CE90" s="1">
        <f t="shared" si="261"/>
        <v>-3.58267074031524</v>
      </c>
      <c r="CF90" s="1">
        <f t="shared" si="261"/>
        <v>-9.70598738120189</v>
      </c>
      <c r="CG90" s="1">
        <f t="shared" si="261"/>
        <v>-3.54852327733471</v>
      </c>
      <c r="CH90" s="1">
        <f t="shared" si="261"/>
        <v>0</v>
      </c>
      <c r="CI90" s="1">
        <f t="shared" si="261"/>
        <v>0</v>
      </c>
      <c r="CJ90" s="1">
        <f t="shared" si="261"/>
        <v>-10.6660208605811</v>
      </c>
      <c r="CK90" s="1">
        <f t="shared" si="261"/>
        <v>-4.56495320544373</v>
      </c>
      <c r="CL90" s="1">
        <f t="shared" si="261"/>
        <v>-4.80536978045068</v>
      </c>
      <c r="CM90" s="1">
        <f t="shared" si="261"/>
        <v>-5.5603014003814</v>
      </c>
      <c r="CN90" s="1">
        <f t="shared" si="261"/>
        <v>-4.161913777412</v>
      </c>
      <c r="CO90" s="1">
        <f t="shared" si="261"/>
        <v>-10.5691864521368</v>
      </c>
      <c r="CP90" s="1">
        <f t="shared" si="261"/>
        <v>-10.3381230379441</v>
      </c>
      <c r="CQ90" s="1">
        <f t="shared" si="261"/>
        <v>0</v>
      </c>
      <c r="CR90" s="1">
        <f t="shared" si="261"/>
        <v>-7.85640809244146</v>
      </c>
      <c r="CS90" s="1">
        <f t="shared" si="261"/>
        <v>0</v>
      </c>
      <c r="CT90" s="1">
        <f t="shared" si="261"/>
        <v>-5.5141528581614</v>
      </c>
      <c r="CU90" s="1">
        <f t="shared" si="261"/>
        <v>0</v>
      </c>
      <c r="CV90" s="1">
        <f t="shared" si="261"/>
        <v>0</v>
      </c>
    </row>
    <row r="91" spans="1:100">
      <c r="A91" s="1" t="s">
        <v>42</v>
      </c>
      <c r="B91" s="1">
        <v>2024</v>
      </c>
      <c r="C91" s="1">
        <v>48.62</v>
      </c>
      <c r="D91" s="1">
        <v>83978</v>
      </c>
      <c r="E91" s="1">
        <v>4.6</v>
      </c>
      <c r="F91" s="1">
        <v>35.65</v>
      </c>
      <c r="G91" s="1">
        <v>57.98</v>
      </c>
      <c r="H91" s="1">
        <v>6.57</v>
      </c>
      <c r="I91" s="1">
        <f t="shared" si="220"/>
        <v>11347</v>
      </c>
      <c r="J91" s="1">
        <v>0</v>
      </c>
      <c r="K91" s="1">
        <v>0</v>
      </c>
      <c r="L91" s="1">
        <v>21.22</v>
      </c>
      <c r="M91" s="1">
        <f t="shared" si="183"/>
        <v>36649</v>
      </c>
      <c r="N91" s="1">
        <v>39383</v>
      </c>
      <c r="O91" s="1">
        <v>15588</v>
      </c>
      <c r="P91" s="1">
        <v>149790</v>
      </c>
      <c r="Q91" s="1">
        <v>1.76</v>
      </c>
      <c r="R91" s="1">
        <v>0.41</v>
      </c>
      <c r="S91" s="1">
        <v>0.96</v>
      </c>
      <c r="T91" s="1">
        <v>482</v>
      </c>
      <c r="U91" s="1">
        <v>5.79</v>
      </c>
      <c r="V91" s="1">
        <v>49.52</v>
      </c>
      <c r="W91" s="1">
        <v>0</v>
      </c>
      <c r="X91" s="1">
        <v>0.65</v>
      </c>
      <c r="AA91" s="1">
        <f t="shared" si="188"/>
        <v>0.0003</v>
      </c>
      <c r="AB91" s="1">
        <f t="shared" si="189"/>
        <v>0.4104</v>
      </c>
      <c r="AC91" s="1">
        <f t="shared" si="190"/>
        <v>0.5414</v>
      </c>
      <c r="AD91" s="1">
        <f t="shared" si="191"/>
        <v>0.5023</v>
      </c>
      <c r="AE91" s="1">
        <f t="shared" si="192"/>
        <v>0.643</v>
      </c>
      <c r="AF91" s="1">
        <f t="shared" si="193"/>
        <v>0.0007</v>
      </c>
      <c r="AG91" s="1">
        <f t="shared" si="194"/>
        <v>0.933</v>
      </c>
      <c r="AH91" s="1">
        <f t="shared" si="195"/>
        <v>0</v>
      </c>
      <c r="AI91" s="1">
        <f t="shared" si="196"/>
        <v>0</v>
      </c>
      <c r="AJ91" s="1">
        <f t="shared" si="197"/>
        <v>0.0002</v>
      </c>
      <c r="AK91" s="1">
        <f t="shared" si="198"/>
        <v>0.5695</v>
      </c>
      <c r="AL91" s="1">
        <f t="shared" si="199"/>
        <v>0.2606</v>
      </c>
      <c r="AM91" s="1">
        <f t="shared" si="200"/>
        <v>0.1886</v>
      </c>
      <c r="AN91" s="1">
        <f t="shared" si="201"/>
        <v>0.4135</v>
      </c>
      <c r="AO91" s="1">
        <f t="shared" si="202"/>
        <v>0</v>
      </c>
      <c r="AP91" s="1">
        <f t="shared" si="203"/>
        <v>0.0003</v>
      </c>
      <c r="AQ91" s="1">
        <f t="shared" si="204"/>
        <v>0</v>
      </c>
      <c r="AR91" s="1">
        <f t="shared" si="205"/>
        <v>0.004</v>
      </c>
      <c r="AS91" s="1">
        <f t="shared" si="206"/>
        <v>0</v>
      </c>
      <c r="AT91" s="1">
        <f t="shared" si="207"/>
        <v>0.1469</v>
      </c>
      <c r="AU91" s="1">
        <f t="shared" si="208"/>
        <v>0</v>
      </c>
      <c r="AV91" s="1">
        <f t="shared" si="209"/>
        <v>0.0001</v>
      </c>
      <c r="AW91" s="4">
        <f t="shared" si="210"/>
        <v>0.0435</v>
      </c>
      <c r="BA91" s="1">
        <f t="shared" si="221"/>
        <v>3.43646548070425e-5</v>
      </c>
      <c r="BB91" s="1">
        <f t="shared" si="184"/>
        <v>0.0115323011211959</v>
      </c>
      <c r="BC91" s="1">
        <f t="shared" si="185"/>
        <v>0.0111766673135123</v>
      </c>
      <c r="BD91" s="1">
        <f t="shared" ref="BD91:BV91" si="262">AD91/SUM(AD$2:AD$91)</f>
        <v>0.00907720776920797</v>
      </c>
      <c r="BE91" s="1">
        <f t="shared" si="262"/>
        <v>0.0219125610433514</v>
      </c>
      <c r="BF91" s="1">
        <f t="shared" si="262"/>
        <v>8.52847291600673e-5</v>
      </c>
      <c r="BG91" s="1">
        <f t="shared" si="262"/>
        <v>0.0330538107536481</v>
      </c>
      <c r="BH91" s="1">
        <f t="shared" si="262"/>
        <v>0</v>
      </c>
      <c r="BI91" s="1">
        <f t="shared" si="262"/>
        <v>0</v>
      </c>
      <c r="BJ91" s="1">
        <f t="shared" si="262"/>
        <v>2.33241591640622e-5</v>
      </c>
      <c r="BK91" s="1">
        <f t="shared" si="262"/>
        <v>0.0109003560081155</v>
      </c>
      <c r="BL91" s="1">
        <f t="shared" si="262"/>
        <v>0.00989418612156257</v>
      </c>
      <c r="BM91" s="1">
        <f t="shared" si="262"/>
        <v>0.00494656088125369</v>
      </c>
      <c r="BN91" s="1">
        <f t="shared" si="262"/>
        <v>0.0179525808734462</v>
      </c>
      <c r="BO91" s="1">
        <f t="shared" si="262"/>
        <v>0</v>
      </c>
      <c r="BP91" s="1">
        <f t="shared" si="262"/>
        <v>4.85625485625485e-5</v>
      </c>
      <c r="BQ91" s="1">
        <f t="shared" si="262"/>
        <v>0</v>
      </c>
      <c r="BR91" s="1">
        <f t="shared" si="262"/>
        <v>0.000442585584987497</v>
      </c>
      <c r="BS91" s="1">
        <f t="shared" si="262"/>
        <v>0</v>
      </c>
      <c r="BT91" s="1">
        <f t="shared" si="262"/>
        <v>0.00404310071972147</v>
      </c>
      <c r="BU91" s="1">
        <f t="shared" si="262"/>
        <v>0</v>
      </c>
      <c r="BV91" s="1">
        <f t="shared" si="262"/>
        <v>1.3291332721932e-5</v>
      </c>
      <c r="CA91" s="1">
        <f t="shared" si="212"/>
        <v>-10.2784819983403</v>
      </c>
      <c r="CB91" s="1">
        <f t="shared" ref="CB91:CV91" si="263">IF(BB91=0,0,LN(BB91))</f>
        <v>-4.46260338775397</v>
      </c>
      <c r="CC91" s="1">
        <f t="shared" si="263"/>
        <v>-4.49392694929746</v>
      </c>
      <c r="CD91" s="1">
        <f t="shared" si="263"/>
        <v>-4.70198864806559</v>
      </c>
      <c r="CE91" s="1">
        <f t="shared" si="263"/>
        <v>-3.82069524296107</v>
      </c>
      <c r="CF91" s="1">
        <f t="shared" si="263"/>
        <v>-9.36951514458068</v>
      </c>
      <c r="CG91" s="1">
        <f t="shared" si="263"/>
        <v>-3.40961841664904</v>
      </c>
      <c r="CH91" s="1">
        <f t="shared" si="263"/>
        <v>0</v>
      </c>
      <c r="CI91" s="1">
        <f t="shared" si="263"/>
        <v>0</v>
      </c>
      <c r="CJ91" s="1">
        <f t="shared" si="263"/>
        <v>-10.6660208605811</v>
      </c>
      <c r="CK91" s="1">
        <f t="shared" si="263"/>
        <v>-4.51895982898541</v>
      </c>
      <c r="CL91" s="1">
        <f t="shared" si="263"/>
        <v>-4.61580795479478</v>
      </c>
      <c r="CM91" s="1">
        <f t="shared" si="263"/>
        <v>-5.30906271533098</v>
      </c>
      <c r="CN91" s="1">
        <f t="shared" si="263"/>
        <v>-4.0200213931329</v>
      </c>
      <c r="CO91" s="1">
        <f t="shared" si="263"/>
        <v>0</v>
      </c>
      <c r="CP91" s="1">
        <f t="shared" si="263"/>
        <v>-9.93265792983591</v>
      </c>
      <c r="CQ91" s="1">
        <f t="shared" si="263"/>
        <v>0</v>
      </c>
      <c r="CR91" s="1">
        <f t="shared" si="263"/>
        <v>-7.72287669981693</v>
      </c>
      <c r="CS91" s="1">
        <f t="shared" si="263"/>
        <v>0</v>
      </c>
      <c r="CT91" s="1">
        <f t="shared" si="263"/>
        <v>-5.51074337650878</v>
      </c>
      <c r="CU91" s="1">
        <f t="shared" si="263"/>
        <v>0</v>
      </c>
      <c r="CV91" s="1">
        <f t="shared" si="263"/>
        <v>-11.2283984102117</v>
      </c>
    </row>
    <row r="92" spans="50:50">
      <c r="AX92" s="1">
        <f>-1/LN(90)</f>
        <v>-0.22223162161581</v>
      </c>
    </row>
    <row r="93" spans="27:48">
      <c r="AA93" s="1" cm="1">
        <f t="array" ref="AA93">$AX$92*SUMPRODUCT(BA2:BA91,CA2:CA91)</f>
        <v>0.762533970499934</v>
      </c>
      <c r="AB93" s="1" cm="1">
        <f t="array" ref="AB93">$AX$92*SUMPRODUCT(BB2:BB91,CB2:CB91)</f>
        <v>0.960469641211198</v>
      </c>
      <c r="AC93" s="1" cm="1">
        <f t="array" ref="AC93">$AX$92*SUMPRODUCT(BC2:BC91,CC2:CC91)</f>
        <v>0.977038638374235</v>
      </c>
      <c r="AD93" s="1" cm="1">
        <f t="array" ref="AD93">$AX$92*SUMPRODUCT(BD2:BD91,CD2:CD91)</f>
        <v>0.979238979294131</v>
      </c>
      <c r="AE93" s="1" cm="1">
        <f t="array" ref="AE93">$AX$92*SUMPRODUCT(BE2:BE91,CE2:CE91)</f>
        <v>0.944945385466156</v>
      </c>
      <c r="AF93" s="1" cm="1">
        <f t="array" ref="AF93">$AX$92*SUMPRODUCT(BF2:BF91,CF2:CF91)</f>
        <v>0.723530813625443</v>
      </c>
      <c r="AG93" s="1" cm="1">
        <f t="array" ref="AG93">$AX$92*SUMPRODUCT(BG2:BG91,CG2:CG91)</f>
        <v>0.945200254469536</v>
      </c>
      <c r="AH93" s="1" cm="1">
        <f t="array" ref="AH93">$AX$92*SUMPRODUCT(BH2:BH91,CH2:CH91)</f>
        <v>0.558159496406934</v>
      </c>
      <c r="AI93" s="1" cm="1">
        <f t="array" ref="AI93">$AX$92*SUMPRODUCT(BI2:BI91,CI2:CI91)</f>
        <v>0.695203868694538</v>
      </c>
      <c r="AJ93" s="1" cm="1">
        <f t="array" ref="AJ93">$AX$92*SUMPRODUCT(BJ2:BJ91,CJ2:CJ91)</f>
        <v>0.768261503077041</v>
      </c>
      <c r="AK93" s="1" cm="1">
        <f t="array" ref="AK93">$AX$92*SUMPRODUCT(BK2:BK91,CK2:CK91)</f>
        <v>0.989667541970743</v>
      </c>
      <c r="AL93" s="1" cm="1">
        <f t="array" ref="AL93">$AX$92*SUMPRODUCT(BL2:BL91,CL2:CL91)</f>
        <v>0.957758142901956</v>
      </c>
      <c r="AM93" s="1" cm="1">
        <f t="array" ref="AM93">$AX$92*SUMPRODUCT(BM2:BM91,CM2:CM91)</f>
        <v>0.970223539294216</v>
      </c>
      <c r="AN93" s="1" cm="1">
        <f t="array" ref="AN93">$AX$92*SUMPRODUCT(BN2:BN91,CN2:CN91)</f>
        <v>0.953502399549562</v>
      </c>
      <c r="AO93" s="1" cm="1">
        <f t="array" ref="AO93">$AX$92*SUMPRODUCT(BO2:BO91,CO2:CO91)</f>
        <v>0.690408834569425</v>
      </c>
      <c r="AP93" s="1" cm="1">
        <f t="array" ref="AP93">$AX$92*SUMPRODUCT(BP2:BP91,CP2:CP91)</f>
        <v>0.582449495843945</v>
      </c>
      <c r="AQ93" s="1" cm="1">
        <f t="array" ref="AQ93">$AX$92*SUMPRODUCT(BQ2:BQ91,CQ2:CQ91)</f>
        <v>0.655018955391976</v>
      </c>
      <c r="AR93" s="1" cm="1">
        <f t="array" ref="AR93">$AX$92*SUMPRODUCT(BR2:BR91,CR2:CR91)</f>
        <v>0.79916157835806</v>
      </c>
      <c r="AS93" s="1" cm="1">
        <f t="array" ref="AS93">$AX$92*SUMPRODUCT(BS2:BS91,CS2:CS91)</f>
        <v>0.787427741725212</v>
      </c>
      <c r="AT93" s="1" cm="1">
        <f t="array" ref="AT93">$AX$92*SUMPRODUCT(BT2:BT91,CT2:CT91)</f>
        <v>0.968304385671983</v>
      </c>
      <c r="AU93" s="1" cm="1">
        <f t="array" ref="AU93">$AX$92*SUMPRODUCT(BU2:BU91,CU2:CU91)</f>
        <v>0.682925286631681</v>
      </c>
      <c r="AV93" s="1" cm="1">
        <f t="array" ref="AV93">$AX$92*SUMPRODUCT(BV2:BV91,CV2:CV91)</f>
        <v>0.667771167027155</v>
      </c>
    </row>
    <row r="94" spans="27:48">
      <c r="AA94" s="1">
        <f>1-AA93</f>
        <v>0.237466029500066</v>
      </c>
      <c r="AB94" s="1">
        <f t="shared" ref="AB94:AV94" si="264">1-AB93</f>
        <v>0.0395303587888021</v>
      </c>
      <c r="AC94" s="1">
        <f t="shared" si="264"/>
        <v>0.0229613616257649</v>
      </c>
      <c r="AD94" s="1">
        <f t="shared" si="264"/>
        <v>0.0207610207058692</v>
      </c>
      <c r="AE94" s="1">
        <f t="shared" si="264"/>
        <v>0.0550546145338442</v>
      </c>
      <c r="AF94" s="1">
        <f t="shared" si="264"/>
        <v>0.276469186374557</v>
      </c>
      <c r="AG94" s="1">
        <f t="shared" si="264"/>
        <v>0.0547997455304644</v>
      </c>
      <c r="AH94" s="1">
        <f t="shared" si="264"/>
        <v>0.441840503593066</v>
      </c>
      <c r="AI94" s="1">
        <f t="shared" si="264"/>
        <v>0.304796131305462</v>
      </c>
      <c r="AJ94" s="1">
        <f t="shared" si="264"/>
        <v>0.231738496922959</v>
      </c>
      <c r="AK94" s="1">
        <f t="shared" si="264"/>
        <v>0.0103324580292565</v>
      </c>
      <c r="AL94" s="1">
        <f t="shared" si="264"/>
        <v>0.0422418570980436</v>
      </c>
      <c r="AM94" s="1">
        <f t="shared" si="264"/>
        <v>0.0297764607057841</v>
      </c>
      <c r="AN94" s="1">
        <f t="shared" si="264"/>
        <v>0.0464976004504383</v>
      </c>
      <c r="AO94" s="1">
        <f t="shared" si="264"/>
        <v>0.309591165430575</v>
      </c>
      <c r="AP94" s="1">
        <f t="shared" si="264"/>
        <v>0.417550504156055</v>
      </c>
      <c r="AQ94" s="1">
        <f t="shared" si="264"/>
        <v>0.344981044608024</v>
      </c>
      <c r="AR94" s="1">
        <f t="shared" si="264"/>
        <v>0.20083842164194</v>
      </c>
      <c r="AS94" s="1">
        <f t="shared" si="264"/>
        <v>0.212572258274788</v>
      </c>
      <c r="AT94" s="1">
        <f t="shared" si="264"/>
        <v>0.031695614328017</v>
      </c>
      <c r="AU94" s="1">
        <f t="shared" si="264"/>
        <v>0.317074713368319</v>
      </c>
      <c r="AV94" s="1">
        <f t="shared" si="264"/>
        <v>0.332228832972845</v>
      </c>
    </row>
    <row r="95" spans="27:49">
      <c r="AA95" s="1">
        <f>AA94/SUM($AA$94:$AV$94)</f>
        <v>0.0596528652886335</v>
      </c>
      <c r="AB95" s="1">
        <f t="shared" ref="AB95:AV95" si="265">AB94/SUM($AA$94:$AV$94)</f>
        <v>0.00993025896211021</v>
      </c>
      <c r="AC95" s="1">
        <f t="shared" si="265"/>
        <v>0.00576802928313151</v>
      </c>
      <c r="AD95" s="1">
        <f t="shared" si="265"/>
        <v>0.00521529068401508</v>
      </c>
      <c r="AE95" s="1">
        <f t="shared" si="265"/>
        <v>0.0138300434433471</v>
      </c>
      <c r="AF95" s="1">
        <f t="shared" si="265"/>
        <v>0.0694506880246422</v>
      </c>
      <c r="AG95" s="1">
        <f t="shared" si="265"/>
        <v>0.0137660188485161</v>
      </c>
      <c r="AH95" s="1">
        <f t="shared" si="265"/>
        <v>0.11099293694929</v>
      </c>
      <c r="AI95" s="1">
        <f t="shared" si="265"/>
        <v>0.0765665834373853</v>
      </c>
      <c r="AJ95" s="1">
        <f t="shared" si="265"/>
        <v>0.0582140753700176</v>
      </c>
      <c r="AK95" s="1">
        <f t="shared" si="265"/>
        <v>0.00259557431527076</v>
      </c>
      <c r="AL95" s="1">
        <f t="shared" si="265"/>
        <v>0.0106114033081545</v>
      </c>
      <c r="AM95" s="1">
        <f t="shared" si="265"/>
        <v>0.00748002231306071</v>
      </c>
      <c r="AN95" s="1">
        <f t="shared" si="265"/>
        <v>0.0116804711046635</v>
      </c>
      <c r="AO95" s="1">
        <f t="shared" si="265"/>
        <v>0.0777711242524312</v>
      </c>
      <c r="AP95" s="1">
        <f t="shared" si="265"/>
        <v>0.104891146022279</v>
      </c>
      <c r="AQ95" s="1">
        <f t="shared" si="265"/>
        <v>0.0866612703486871</v>
      </c>
      <c r="AR95" s="1">
        <f t="shared" si="265"/>
        <v>0.0504517944575525</v>
      </c>
      <c r="AS95" s="1">
        <f t="shared" si="265"/>
        <v>0.0533994033321847</v>
      </c>
      <c r="AT95" s="1">
        <f t="shared" si="265"/>
        <v>0.00796212500680716</v>
      </c>
      <c r="AU95" s="1">
        <f t="shared" si="265"/>
        <v>0.0796510355725941</v>
      </c>
      <c r="AV95" s="1">
        <f t="shared" si="265"/>
        <v>0.0834578396752262</v>
      </c>
      <c r="AW95" s="1">
        <f>SUM(AA95:AV95)</f>
        <v>1</v>
      </c>
    </row>
  </sheetData>
  <sortState ref="A87:X91">
    <sortCondition ref="B87:B91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 PIECE OF A PIECE</cp:lastModifiedBy>
  <dcterms:created xsi:type="dcterms:W3CDTF">2023-05-12T11:15:00Z</dcterms:created>
  <dcterms:modified xsi:type="dcterms:W3CDTF">2026-05-20T16:52:04Z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37B86D90757D495DA63FE13DD87655A9_12</vt:lpwstr>
  </property>
</Properties>
</file>